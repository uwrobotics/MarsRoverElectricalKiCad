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4796AFC8-5DC9-4F86-83AE-D524F6B81D9B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1" l="1"/>
  <c r="E63" i="1"/>
  <c r="E61" i="1"/>
  <c r="E29" i="1"/>
  <c r="E24" i="1"/>
  <c r="E25" i="1"/>
  <c r="E26" i="1"/>
  <c r="E27" i="1"/>
  <c r="E30" i="1"/>
  <c r="B20" i="1"/>
  <c r="B57" i="1"/>
  <c r="E18" i="1"/>
  <c r="E19" i="1"/>
  <c r="E20" i="1"/>
  <c r="E21" i="1"/>
  <c r="E15" i="1" l="1"/>
  <c r="E16" i="1"/>
  <c r="E17" i="1"/>
  <c r="E7" i="1"/>
  <c r="E8" i="1"/>
  <c r="E9" i="1"/>
  <c r="B23" i="1" l="1"/>
  <c r="B22" i="1"/>
  <c r="E22" i="1"/>
  <c r="E23" i="1"/>
  <c r="E57" i="1" l="1"/>
  <c r="E4" i="1"/>
  <c r="E5" i="1"/>
  <c r="E6" i="1"/>
  <c r="E10" i="1"/>
  <c r="E11" i="1"/>
  <c r="E13" i="1"/>
  <c r="E14" i="1"/>
  <c r="E31" i="1"/>
  <c r="E32" i="1"/>
  <c r="E33" i="1"/>
  <c r="E34" i="1"/>
  <c r="E35" i="1"/>
  <c r="E36" i="1"/>
  <c r="E37" i="1"/>
  <c r="E38" i="1"/>
  <c r="E39" i="1"/>
  <c r="E40" i="1"/>
  <c r="E41" i="1"/>
  <c r="E42" i="1"/>
  <c r="E44" i="1"/>
  <c r="E45" i="1"/>
  <c r="E47" i="1"/>
  <c r="E48" i="1"/>
  <c r="E50" i="1"/>
  <c r="E51" i="1"/>
  <c r="E52" i="1"/>
  <c r="E53" i="1"/>
  <c r="E54" i="1"/>
  <c r="E28" i="1"/>
  <c r="E56" i="1"/>
  <c r="E58" i="1"/>
  <c r="E60" i="1"/>
  <c r="E64" i="1"/>
  <c r="E65" i="1"/>
  <c r="E3" i="1"/>
  <c r="E2" i="1" l="1"/>
  <c r="E66" i="1" l="1"/>
</calcChain>
</file>

<file path=xl/sharedStrings.xml><?xml version="1.0" encoding="utf-8"?>
<sst xmlns="http://schemas.openxmlformats.org/spreadsheetml/2006/main" count="176" uniqueCount="140">
  <si>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</si>
  <si>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</si>
  <si>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</si>
  <si>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</si>
  <si>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</si>
  <si>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</si>
  <si>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</si>
  <si>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</si>
  <si>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</si>
  <si>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</si>
  <si>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</si>
  <si>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</si>
  <si>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</si>
  <si>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</si>
  <si>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</si>
  <si>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</si>
  <si>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</si>
  <si>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</si>
  <si>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</si>
  <si>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</si>
  <si>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</si>
  <si>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</si>
  <si>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</si>
  <si>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</si>
  <si>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</si>
  <si>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</si>
  <si>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</si>
  <si>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</si>
  <si>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</si>
  <si>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</si>
  <si>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</si>
  <si>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</si>
  <si>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</si>
  <si>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</si>
  <si>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</si>
  <si>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</si>
  <si>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</si>
  <si>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</si>
  <si>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</si>
  <si>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</si>
  <si>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</si>
  <si>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</si>
  <si>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*4 out of 100</t>
  </si>
  <si>
    <t>https://www.lcsc.com/product-detail/C19110.html</t>
  </si>
  <si>
    <t>CL21B225KAFNNNE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</si>
  <si>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</si>
  <si>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</si>
  <si>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</si>
  <si>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</si>
  <si>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</si>
  <si>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</si>
  <si>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RC0603FR-0710RL</t>
  </si>
  <si>
    <t>*2 out of 100</t>
  </si>
  <si>
    <t>https://www.lcsc.com/product-detail/C728638.html</t>
  </si>
  <si>
    <t>390k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</si>
  <si>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</si>
  <si>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</si>
  <si>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</si>
  <si>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</si>
  <si>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</si>
  <si>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</si>
  <si>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</si>
  <si>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</si>
  <si>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</si>
  <si>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</si>
  <si>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</si>
  <si>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</si>
  <si>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</si>
  <si>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</si>
  <si>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</si>
  <si>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</si>
  <si>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</si>
  <si>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</si>
  <si>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</si>
  <si>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</si>
  <si>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</si>
  <si>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</si>
  <si>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</si>
  <si>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</si>
  <si>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*4 out of 10</t>
  </si>
  <si>
    <t>*6 out of 50</t>
  </si>
  <si>
    <t>RC0603FR-072R2L</t>
  </si>
  <si>
    <t>https://www.lcsc.com/product-detail/C112307.html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</si>
  <si>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</si>
  <si>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</si>
  <si>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</si>
  <si>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</si>
  <si>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IGC025S08S1XTMA1</t>
  </si>
  <si>
    <t>https://www.digikey.ca/en/products/detail/infineon-technologies/IGC025S08S1XTMA1/25902269</t>
  </si>
  <si>
    <t>LM5143QRHARQ1</t>
  </si>
  <si>
    <t>https://www.lcsc.com/product-detail/C5219258.html</t>
  </si>
  <si>
    <t>RPF0811101M050K</t>
  </si>
  <si>
    <t>https://www.digikey.ca/en/products/detail/kyocera-avx/RPF0811101M050K/20096773</t>
  </si>
  <si>
    <t>CL10B104KC8NNNC</t>
  </si>
  <si>
    <t>https://www.lcsc.com/product-detail/C15725.html</t>
  </si>
  <si>
    <t>Tallied Above (2x)</t>
  </si>
  <si>
    <t>CL10B103KC8NNNC</t>
  </si>
  <si>
    <t>https://www.lcsc.com/product-detail/C84709.html</t>
  </si>
  <si>
    <t>*5 out of 100</t>
  </si>
  <si>
    <t>GanFET + Driver</t>
  </si>
  <si>
    <t>LM5113QDPRRQ1</t>
  </si>
  <si>
    <t>https://www.digikey.ca/en/products/detail/texas-instruments/LM5113QDPRRQ1/7034938</t>
  </si>
  <si>
    <t>RC0603FR-071KL</t>
  </si>
  <si>
    <t>1k</t>
  </si>
  <si>
    <t>https://www.lcsc.com/product-detail/C22548.html</t>
  </si>
  <si>
    <t>CL10C220JB8NNNC</t>
  </si>
  <si>
    <t>22pF</t>
  </si>
  <si>
    <t>https://www.lcsc.com/product-detail/C1653.html</t>
  </si>
  <si>
    <t>BAT46JFILM</t>
  </si>
  <si>
    <t>https://www.lcsc.com/product-detail/C111205.html</t>
  </si>
  <si>
    <t>RC0603FR-07100RL</t>
  </si>
  <si>
    <t>https://www.lcsc.com/product-detail/C105588.html</t>
  </si>
  <si>
    <t>LDOs</t>
  </si>
  <si>
    <t>AP7387-50FDC-7</t>
  </si>
  <si>
    <t>https://www.digikey.ca/en/products/detail/diodes-incorporated/AP7387-50FDC-7/17874785</t>
  </si>
  <si>
    <t>CPQ2620H-100M</t>
  </si>
  <si>
    <t>https://www.lcsc.com/product-detail/C41347719.html</t>
  </si>
  <si>
    <t>RT0603FRE0712KL</t>
  </si>
  <si>
    <t>12k</t>
  </si>
  <si>
    <t>https://www.lcsc.com/product-detail/C136933.html</t>
  </si>
  <si>
    <t>GRM1885C1H562JA01D</t>
  </si>
  <si>
    <t>5.6nF</t>
  </si>
  <si>
    <t>https://www.lcsc.com/product-detail/C440183.html</t>
  </si>
  <si>
    <t>CL10C121JB8NNNC</t>
  </si>
  <si>
    <t>120pF</t>
  </si>
  <si>
    <t>https://www.lcsc.com/product-detail/C18438.html</t>
  </si>
  <si>
    <t>*12 out of 50</t>
  </si>
  <si>
    <t>*2 out of 50</t>
  </si>
  <si>
    <t>Telemetry</t>
  </si>
  <si>
    <t>Switch</t>
  </si>
  <si>
    <t>SLW-865144-2A-N-SMT-TR</t>
  </si>
  <si>
    <t>https://www.digikey.ca/en/products/detail/same-sky-formerly-cui-devices/SLW-865144-2A-N-SMT-TR/24399296</t>
  </si>
  <si>
    <t>XT60PW-M</t>
  </si>
  <si>
    <t>https://www.lcsc.com/product-detail/C98732.html</t>
  </si>
  <si>
    <t>https://www.lcsc.com/product-detail/C189895.html</t>
  </si>
  <si>
    <t>https://www.lcsc.com/product-detail/C109318.html</t>
  </si>
  <si>
    <t>RT0603FRE07390KL</t>
  </si>
  <si>
    <t>https://www.lcsc.com/product-detail/C863775.html</t>
  </si>
  <si>
    <t>*3 out of 10</t>
  </si>
  <si>
    <t>*6 out of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</si>
</sst>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6"/>
  <sheetViews>
    <sheetView tabSelected="1" topLeftCell="A28" zoomScaleNormal="100" workbookViewId="0">
      <selection activeCell="F31" sqref="F31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77</v>
      </c>
      <c r="E1" s="1" t="s">
        <v>78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76</v>
      </c>
      <c r="U2">
        <v>1.37</v>
      </c>
    </row>
    <row r="3" spans="1:21" x14ac:dyDescent="0.35">
      <c r="A3" t="s">
        <v>89</v>
      </c>
      <c r="C3">
        <v>1</v>
      </c>
      <c r="D3" s="1">
        <v>3.72</v>
      </c>
      <c r="E3" s="1">
        <f>IF(COUNT(C3:D3)=2,D3*C3*IF(ISNUMBER(SEARCH("lcsc", F3)), U$2, 1),"")</f>
        <v>5.0964000000000009</v>
      </c>
      <c r="F3" t="s">
        <v>90</v>
      </c>
    </row>
    <row r="4" spans="1:21" x14ac:dyDescent="0.35">
      <c r="A4" t="s">
        <v>0</v>
      </c>
      <c r="E4" s="1" t="str">
        <f t="shared" ref="E4:E8" si="1">IF(COUNT(C4:D4)=2,D4*C4*IF(ISNUMBER(SEARCH("lcsc", F4)), U$2, 1),"")</f>
        <v/>
      </c>
    </row>
    <row r="5" spans="1:21" x14ac:dyDescent="0.35">
      <c r="A5" t="s">
        <v>69</v>
      </c>
      <c r="B5" t="s">
        <v>70</v>
      </c>
      <c r="C5">
        <v>4</v>
      </c>
      <c r="D5" s="1">
        <v>1.92</v>
      </c>
      <c r="E5" s="1">
        <f t="shared" si="1"/>
        <v>7.68</v>
      </c>
      <c r="F5" t="s">
        <v>71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93</v>
      </c>
      <c r="B7" t="s">
        <v>15</v>
      </c>
      <c r="C7">
        <v>0.24</v>
      </c>
      <c r="D7" s="1">
        <v>0.33</v>
      </c>
      <c r="E7" s="1">
        <f t="shared" si="1"/>
        <v>0.10850400000000002</v>
      </c>
      <c r="F7" t="s">
        <v>94</v>
      </c>
      <c r="Q7" t="s">
        <v>126</v>
      </c>
    </row>
    <row r="8" spans="1:21" x14ac:dyDescent="0.35">
      <c r="A8" t="s">
        <v>96</v>
      </c>
      <c r="B8" t="s">
        <v>19</v>
      </c>
      <c r="C8">
        <v>0.05</v>
      </c>
      <c r="D8" s="1">
        <v>0.63</v>
      </c>
      <c r="E8" s="1">
        <f t="shared" si="1"/>
        <v>4.3155000000000006E-2</v>
      </c>
      <c r="F8" t="s">
        <v>97</v>
      </c>
      <c r="Q8" t="s">
        <v>98</v>
      </c>
    </row>
    <row r="9" spans="1:21" x14ac:dyDescent="0.35">
      <c r="A9" t="s">
        <v>6</v>
      </c>
      <c r="E9" s="1" t="str">
        <f>IF(COUNT(C9:D9)=2,D9*C9*IF(ISNUMBER(SEARCH("lcsc", F9)), U$2, 1),"")</f>
        <v/>
      </c>
    </row>
    <row r="10" spans="1:21" x14ac:dyDescent="0.35">
      <c r="A10" t="s">
        <v>91</v>
      </c>
      <c r="B10" t="s">
        <v>12</v>
      </c>
      <c r="C10">
        <v>2</v>
      </c>
      <c r="D10" s="1">
        <v>1.46</v>
      </c>
      <c r="E10" s="1">
        <f>IF(COUNT(C10:D10)=2,D10*C10*IF(ISNUMBER(SEARCH("lcsc", F10)), U$2, 1),"")</f>
        <v>2.92</v>
      </c>
      <c r="F10" t="s">
        <v>92</v>
      </c>
    </row>
    <row r="11" spans="1:21" x14ac:dyDescent="0.35">
      <c r="A11" t="s">
        <v>7</v>
      </c>
      <c r="B11" t="s">
        <v>13</v>
      </c>
      <c r="C11">
        <v>5</v>
      </c>
      <c r="D11" s="1">
        <v>0.17</v>
      </c>
      <c r="E11" s="1">
        <f>IF(COUNT(C11:D11)=2,D11*C11*IF(ISNUMBER(SEARCH("lcsc", F11)), U$2, 1),"")</f>
        <v>1.1645000000000003</v>
      </c>
      <c r="F11" t="s">
        <v>50</v>
      </c>
    </row>
    <row r="12" spans="1:21" x14ac:dyDescent="0.35">
      <c r="A12" t="s">
        <v>93</v>
      </c>
      <c r="B12" t="s">
        <v>15</v>
      </c>
      <c r="C12" t="s">
        <v>95</v>
      </c>
    </row>
    <row r="13" spans="1:21" x14ac:dyDescent="0.35">
      <c r="A13" t="s">
        <v>99</v>
      </c>
      <c r="E13" s="1" t="str">
        <f>IF(COUNT(C13:D13)=2,D13*C13*IF(ISNUMBER(SEARCH("lcsc", F13)), U$2, 1),"")</f>
        <v/>
      </c>
    </row>
    <row r="14" spans="1:21" x14ac:dyDescent="0.35">
      <c r="A14" t="s">
        <v>87</v>
      </c>
      <c r="C14">
        <v>4</v>
      </c>
      <c r="D14" s="1">
        <v>6.62</v>
      </c>
      <c r="E14" s="1">
        <f>IF(COUNT(C14:D14)=2,D14*C14*IF(ISNUMBER(SEARCH("lcsc", F14)), U$2, 1),"")</f>
        <v>26.48</v>
      </c>
      <c r="F14" t="s">
        <v>88</v>
      </c>
    </row>
    <row r="15" spans="1:21" x14ac:dyDescent="0.35">
      <c r="A15" t="s">
        <v>100</v>
      </c>
      <c r="C15">
        <v>2</v>
      </c>
      <c r="D15" s="1">
        <v>6.79</v>
      </c>
      <c r="E15" s="1">
        <f t="shared" ref="E15:E21" si="2">IF(COUNT(C15:D15)=2,D15*C15*IF(ISNUMBER(SEARCH("lcsc", F15)), U$2, 1),"")</f>
        <v>13.58</v>
      </c>
      <c r="F15" t="s">
        <v>101</v>
      </c>
    </row>
    <row r="16" spans="1:21" x14ac:dyDescent="0.35">
      <c r="A16" t="s">
        <v>102</v>
      </c>
      <c r="B16" t="s">
        <v>103</v>
      </c>
      <c r="C16">
        <v>0.04</v>
      </c>
      <c r="D16" s="1">
        <v>0.13</v>
      </c>
      <c r="E16" s="1">
        <f t="shared" si="2"/>
        <v>7.124000000000001E-3</v>
      </c>
      <c r="F16" t="s">
        <v>104</v>
      </c>
      <c r="Q16" t="s">
        <v>42</v>
      </c>
    </row>
    <row r="17" spans="1:17" x14ac:dyDescent="0.35">
      <c r="A17" t="s">
        <v>105</v>
      </c>
      <c r="B17" t="s">
        <v>106</v>
      </c>
      <c r="C17">
        <v>0.04</v>
      </c>
      <c r="D17" s="1">
        <v>0.45</v>
      </c>
      <c r="E17" s="1">
        <f t="shared" si="2"/>
        <v>2.4660000000000005E-2</v>
      </c>
      <c r="F17" t="s">
        <v>107</v>
      </c>
      <c r="Q17" t="s">
        <v>42</v>
      </c>
    </row>
    <row r="18" spans="1:17" x14ac:dyDescent="0.35">
      <c r="A18" t="s">
        <v>27</v>
      </c>
      <c r="B18" t="s">
        <v>28</v>
      </c>
      <c r="C18">
        <v>0.12</v>
      </c>
      <c r="D18" s="1">
        <v>0.32</v>
      </c>
      <c r="E18" s="1">
        <f t="shared" si="2"/>
        <v>5.2608000000000002E-2</v>
      </c>
      <c r="F18" t="s">
        <v>48</v>
      </c>
      <c r="Q18" t="s">
        <v>80</v>
      </c>
    </row>
    <row r="19" spans="1:17" x14ac:dyDescent="0.35">
      <c r="A19" t="s">
        <v>108</v>
      </c>
      <c r="C19">
        <v>0.4</v>
      </c>
      <c r="D19" s="1">
        <v>0.71</v>
      </c>
      <c r="E19" s="1">
        <f t="shared" si="2"/>
        <v>0.38907999999999998</v>
      </c>
      <c r="F19" t="s">
        <v>109</v>
      </c>
      <c r="Q19" t="s">
        <v>79</v>
      </c>
    </row>
    <row r="20" spans="1:17" x14ac:dyDescent="0.35">
      <c r="A20" t="s">
        <v>110</v>
      </c>
      <c r="B20" t="str">
        <f>TEXT("100", "#")</f>
        <v>100</v>
      </c>
      <c r="C20">
        <v>0.02</v>
      </c>
      <c r="D20" s="1">
        <v>0.13</v>
      </c>
      <c r="E20" s="1">
        <f t="shared" si="2"/>
        <v>3.5620000000000005E-3</v>
      </c>
      <c r="F20" t="s">
        <v>111</v>
      </c>
      <c r="Q20" t="s">
        <v>52</v>
      </c>
    </row>
    <row r="21" spans="1:17" x14ac:dyDescent="0.35">
      <c r="A21" t="s">
        <v>93</v>
      </c>
      <c r="B21" t="s">
        <v>15</v>
      </c>
      <c r="C21" t="s">
        <v>95</v>
      </c>
      <c r="E21" s="1" t="str">
        <f t="shared" si="2"/>
        <v/>
      </c>
    </row>
    <row r="22" spans="1:17" x14ac:dyDescent="0.35">
      <c r="A22" t="s">
        <v>81</v>
      </c>
      <c r="B22" t="str">
        <f>TEXT(2.2, "#.#")</f>
        <v>2.2</v>
      </c>
      <c r="C22">
        <v>0.04</v>
      </c>
      <c r="D22" s="1">
        <v>0.37</v>
      </c>
      <c r="E22" s="1">
        <f>IF(COUNT(C22:D22)=2,D22*C22*IF(ISNUMBER(SEARCH("lcsc", F22)), U$2, 1),"")</f>
        <v>2.0276000000000002E-2</v>
      </c>
      <c r="F22" t="s">
        <v>82</v>
      </c>
      <c r="Q22" t="s">
        <v>42</v>
      </c>
    </row>
    <row r="23" spans="1:17" x14ac:dyDescent="0.35">
      <c r="A23" t="s">
        <v>83</v>
      </c>
      <c r="B23" t="str">
        <f>TEXT(1, "#")</f>
        <v>1</v>
      </c>
      <c r="C23">
        <v>0.04</v>
      </c>
      <c r="D23" s="1">
        <v>0.35</v>
      </c>
      <c r="E23" s="1">
        <f>IF(COUNT(C23:D23)=2,D23*C23*IF(ISNUMBER(SEARCH("lcsc", F23)), U$2, 1),"")</f>
        <v>1.9179999999999999E-2</v>
      </c>
      <c r="F23" t="s">
        <v>84</v>
      </c>
      <c r="Q23" t="s">
        <v>42</v>
      </c>
    </row>
    <row r="24" spans="1:17" x14ac:dyDescent="0.35">
      <c r="A24" t="s">
        <v>112</v>
      </c>
      <c r="E24" s="1" t="str">
        <f t="shared" ref="E24:E27" si="3">IF(COUNT(C24:D24)=2,D24*C24*IF(ISNUMBER(SEARCH("lcsc", F24)), U$2, 1),"")</f>
        <v/>
      </c>
    </row>
    <row r="25" spans="1:17" x14ac:dyDescent="0.35">
      <c r="A25" t="s">
        <v>113</v>
      </c>
      <c r="C25">
        <v>1</v>
      </c>
      <c r="D25" s="1">
        <v>0.75</v>
      </c>
      <c r="E25" s="1">
        <f t="shared" si="3"/>
        <v>0.75</v>
      </c>
      <c r="F25" t="s">
        <v>114</v>
      </c>
    </row>
    <row r="26" spans="1:17" x14ac:dyDescent="0.35">
      <c r="A26" t="s">
        <v>27</v>
      </c>
      <c r="B26" t="s">
        <v>28</v>
      </c>
      <c r="C26" t="s">
        <v>66</v>
      </c>
      <c r="E26" s="1" t="str">
        <f t="shared" si="3"/>
        <v/>
      </c>
    </row>
    <row r="27" spans="1:17" x14ac:dyDescent="0.35">
      <c r="A27" t="s">
        <v>7</v>
      </c>
      <c r="B27" t="s">
        <v>13</v>
      </c>
      <c r="C27" t="s">
        <v>35</v>
      </c>
      <c r="E27" s="1" t="str">
        <f t="shared" si="3"/>
        <v/>
      </c>
    </row>
    <row r="28" spans="1:17" x14ac:dyDescent="0.35">
      <c r="A28" t="s">
        <v>26</v>
      </c>
      <c r="C28">
        <v>0.1</v>
      </c>
      <c r="D28" s="1">
        <v>0.51</v>
      </c>
      <c r="E28" s="1">
        <f t="shared" ref="E28:E42" si="4">IF(COUNT(C28:D28)=2,D28*C28*IF(ISNUMBER(SEARCH("lcsc", F28)), U$2, 1),"")</f>
        <v>6.9870000000000015E-2</v>
      </c>
      <c r="F28" t="s">
        <v>46</v>
      </c>
      <c r="Q28" t="s">
        <v>47</v>
      </c>
    </row>
    <row r="29" spans="1:17" x14ac:dyDescent="0.35">
      <c r="A29" t="s">
        <v>55</v>
      </c>
      <c r="B29" t="s">
        <v>56</v>
      </c>
      <c r="C29">
        <v>0.04</v>
      </c>
      <c r="D29" s="1">
        <v>0.52</v>
      </c>
      <c r="E29" s="1">
        <f t="shared" si="4"/>
        <v>2.8496000000000004E-2</v>
      </c>
      <c r="F29" t="s">
        <v>57</v>
      </c>
      <c r="Q29" t="s">
        <v>127</v>
      </c>
    </row>
    <row r="30" spans="1:17" x14ac:dyDescent="0.35">
      <c r="A30" t="s">
        <v>8</v>
      </c>
      <c r="E30" s="1" t="str">
        <f t="shared" si="4"/>
        <v/>
      </c>
    </row>
    <row r="31" spans="1:17" x14ac:dyDescent="0.35">
      <c r="A31" t="s">
        <v>115</v>
      </c>
      <c r="B31" t="s">
        <v>14</v>
      </c>
      <c r="C31">
        <v>2</v>
      </c>
      <c r="D31" s="1">
        <v>2.99</v>
      </c>
      <c r="E31" s="1">
        <f t="shared" si="4"/>
        <v>8.1926000000000005</v>
      </c>
      <c r="F31" t="s">
        <v>116</v>
      </c>
    </row>
    <row r="32" spans="1:17" x14ac:dyDescent="0.35">
      <c r="A32" t="s">
        <v>21</v>
      </c>
      <c r="E32" s="1" t="str">
        <f t="shared" si="4"/>
        <v/>
      </c>
    </row>
    <row r="33" spans="1:17" x14ac:dyDescent="0.35">
      <c r="A33" t="s">
        <v>72</v>
      </c>
      <c r="B33" t="s">
        <v>73</v>
      </c>
      <c r="C33">
        <v>0.4</v>
      </c>
      <c r="D33" s="1">
        <v>1.35</v>
      </c>
      <c r="E33" s="1">
        <f t="shared" si="4"/>
        <v>0.73980000000000012</v>
      </c>
      <c r="F33" t="s">
        <v>74</v>
      </c>
      <c r="Q33" t="s">
        <v>75</v>
      </c>
    </row>
    <row r="34" spans="1:17" x14ac:dyDescent="0.35">
      <c r="A34" t="s">
        <v>22</v>
      </c>
      <c r="B34" t="s">
        <v>23</v>
      </c>
      <c r="C34">
        <v>4</v>
      </c>
      <c r="D34" s="1">
        <v>3.13</v>
      </c>
      <c r="E34" s="1">
        <f t="shared" si="4"/>
        <v>17.1524</v>
      </c>
      <c r="F34" t="s">
        <v>40</v>
      </c>
    </row>
    <row r="35" spans="1:17" x14ac:dyDescent="0.35">
      <c r="A35" t="s">
        <v>30</v>
      </c>
      <c r="E35" s="1" t="str">
        <f t="shared" si="4"/>
        <v/>
      </c>
    </row>
    <row r="36" spans="1:17" x14ac:dyDescent="0.35">
      <c r="A36" t="s">
        <v>85</v>
      </c>
      <c r="C36">
        <v>1</v>
      </c>
      <c r="D36" s="1">
        <v>2.95</v>
      </c>
      <c r="E36" s="1">
        <f t="shared" si="4"/>
        <v>2.95</v>
      </c>
      <c r="F36" t="s">
        <v>86</v>
      </c>
    </row>
    <row r="37" spans="1:17" x14ac:dyDescent="0.35">
      <c r="A37" t="s">
        <v>32</v>
      </c>
      <c r="C37">
        <v>0.01</v>
      </c>
      <c r="D37" s="1">
        <v>6.94</v>
      </c>
      <c r="E37" s="1">
        <f t="shared" si="4"/>
        <v>6.9400000000000003E-2</v>
      </c>
      <c r="F37" t="s">
        <v>31</v>
      </c>
    </row>
    <row r="38" spans="1:17" x14ac:dyDescent="0.35">
      <c r="A38" t="s">
        <v>18</v>
      </c>
      <c r="E38" s="1" t="str">
        <f t="shared" si="4"/>
        <v/>
      </c>
    </row>
    <row r="39" spans="1:17" x14ac:dyDescent="0.35">
      <c r="A39" t="s">
        <v>117</v>
      </c>
      <c r="B39" t="s">
        <v>118</v>
      </c>
      <c r="C39">
        <v>0.02</v>
      </c>
      <c r="D39" s="1">
        <v>0.52</v>
      </c>
      <c r="E39" s="1">
        <f t="shared" si="4"/>
        <v>1.4248000000000002E-2</v>
      </c>
      <c r="F39" t="s">
        <v>119</v>
      </c>
      <c r="Q39" t="s">
        <v>45</v>
      </c>
    </row>
    <row r="40" spans="1:17" x14ac:dyDescent="0.35">
      <c r="A40" t="s">
        <v>120</v>
      </c>
      <c r="B40" t="s">
        <v>121</v>
      </c>
      <c r="C40">
        <v>0.02</v>
      </c>
      <c r="D40" s="1">
        <v>0.74</v>
      </c>
      <c r="E40" s="1">
        <f t="shared" si="4"/>
        <v>2.0276000000000002E-2</v>
      </c>
      <c r="F40" t="s">
        <v>122</v>
      </c>
      <c r="Q40" t="s">
        <v>45</v>
      </c>
    </row>
    <row r="41" spans="1:17" x14ac:dyDescent="0.35">
      <c r="A41" t="s">
        <v>123</v>
      </c>
      <c r="B41" t="s">
        <v>124</v>
      </c>
      <c r="C41">
        <v>0.02</v>
      </c>
      <c r="D41" s="1">
        <v>0.55000000000000004</v>
      </c>
      <c r="E41" s="1">
        <f t="shared" si="4"/>
        <v>1.5070000000000004E-2</v>
      </c>
      <c r="F41" t="s">
        <v>125</v>
      </c>
      <c r="Q41" t="s">
        <v>45</v>
      </c>
    </row>
    <row r="42" spans="1:17" x14ac:dyDescent="0.35">
      <c r="A42" t="s">
        <v>20</v>
      </c>
      <c r="E42" s="1" t="str">
        <f t="shared" si="4"/>
        <v/>
      </c>
    </row>
    <row r="43" spans="1:17" x14ac:dyDescent="0.35">
      <c r="A43" t="s">
        <v>93</v>
      </c>
      <c r="B43" t="s">
        <v>15</v>
      </c>
      <c r="C43" t="s">
        <v>66</v>
      </c>
    </row>
    <row r="44" spans="1:17" x14ac:dyDescent="0.35">
      <c r="A44" t="s">
        <v>44</v>
      </c>
      <c r="B44" t="s">
        <v>16</v>
      </c>
      <c r="C44">
        <v>0.3</v>
      </c>
      <c r="D44" s="1">
        <v>0.15</v>
      </c>
      <c r="E44" s="1">
        <f>IF(COUNT(C44:D44)=2,D44*C44*IF(ISNUMBER(SEARCH("lcsc", F44)), U$2, 1),"")</f>
        <v>6.1650000000000003E-2</v>
      </c>
      <c r="F44" t="s">
        <v>43</v>
      </c>
      <c r="Q44" t="s">
        <v>138</v>
      </c>
    </row>
    <row r="45" spans="1:17" x14ac:dyDescent="0.35">
      <c r="A45" t="s">
        <v>61</v>
      </c>
      <c r="B45" t="s">
        <v>17</v>
      </c>
      <c r="C45">
        <v>0.02</v>
      </c>
      <c r="D45" s="1">
        <v>0.71</v>
      </c>
      <c r="E45" s="1">
        <f>IF(COUNT(C45:D45)=2,D45*C45*IF(ISNUMBER(SEARCH("lcsc", F45)), U$2, 1),"")</f>
        <v>1.9453999999999999E-2</v>
      </c>
      <c r="F45" t="s">
        <v>62</v>
      </c>
      <c r="Q45" t="s">
        <v>52</v>
      </c>
    </row>
    <row r="46" spans="1:17" x14ac:dyDescent="0.35">
      <c r="A46" t="s">
        <v>96</v>
      </c>
      <c r="B46" t="s">
        <v>19</v>
      </c>
      <c r="C46" t="s">
        <v>35</v>
      </c>
    </row>
    <row r="47" spans="1:17" x14ac:dyDescent="0.35">
      <c r="A47" t="s">
        <v>58</v>
      </c>
      <c r="B47" t="s">
        <v>24</v>
      </c>
      <c r="C47">
        <v>0.02</v>
      </c>
      <c r="D47" s="1">
        <v>0.55000000000000004</v>
      </c>
      <c r="E47" s="1">
        <f>IF(COUNT(C47:D47)=2,D47*C47*IF(ISNUMBER(SEARCH("lcsc", F47)), U$2, 1),"")</f>
        <v>1.5070000000000004E-2</v>
      </c>
      <c r="F47" t="s">
        <v>53</v>
      </c>
      <c r="Q47" t="s">
        <v>45</v>
      </c>
    </row>
    <row r="48" spans="1:17" x14ac:dyDescent="0.35">
      <c r="A48" t="s">
        <v>136</v>
      </c>
      <c r="B48" t="s">
        <v>54</v>
      </c>
      <c r="C48">
        <v>0.02</v>
      </c>
      <c r="D48" s="1">
        <v>0.54</v>
      </c>
      <c r="E48" s="1">
        <f>IF(COUNT(C48:D48)=2,D48*C48*IF(ISNUMBER(SEARCH("lcsc", F48)), U$2, 1),"")</f>
        <v>1.4796000000000002E-2</v>
      </c>
      <c r="F48" t="s">
        <v>137</v>
      </c>
      <c r="Q48" t="s">
        <v>45</v>
      </c>
    </row>
    <row r="49" spans="1:17" x14ac:dyDescent="0.35">
      <c r="A49" t="s">
        <v>55</v>
      </c>
      <c r="B49" t="s">
        <v>56</v>
      </c>
      <c r="C49" t="s">
        <v>35</v>
      </c>
    </row>
    <row r="50" spans="1:17" x14ac:dyDescent="0.35">
      <c r="A50" t="s">
        <v>63</v>
      </c>
      <c r="C50">
        <v>1</v>
      </c>
      <c r="D50" s="1">
        <v>0.23</v>
      </c>
      <c r="E50" s="1">
        <f>IF(COUNT(C50:D50)=2,D50*C50*IF(ISNUMBER(SEARCH("lcsc", F50)), U$2, 1),"")</f>
        <v>0.23</v>
      </c>
      <c r="F50" t="s">
        <v>64</v>
      </c>
    </row>
    <row r="51" spans="1:17" x14ac:dyDescent="0.35">
      <c r="A51" t="s">
        <v>33</v>
      </c>
      <c r="B51" t="s">
        <v>34</v>
      </c>
      <c r="C51">
        <v>0.08</v>
      </c>
      <c r="D51" s="1">
        <v>0.52</v>
      </c>
      <c r="E51" s="1">
        <f>IF(COUNT(C51:D51)=2,D51*C51*IF(ISNUMBER(SEARCH("lcsc", F51)), U$2, 1),"")</f>
        <v>5.6992000000000008E-2</v>
      </c>
      <c r="F51" t="s">
        <v>49</v>
      </c>
      <c r="Q51" t="s">
        <v>65</v>
      </c>
    </row>
    <row r="52" spans="1:17" x14ac:dyDescent="0.35">
      <c r="A52" t="s">
        <v>68</v>
      </c>
      <c r="C52">
        <v>1.2</v>
      </c>
      <c r="D52" s="1">
        <v>0.39</v>
      </c>
      <c r="E52" s="1">
        <f>IF(COUNT(C52:D52)=2,D52*C52*IF(ISNUMBER(SEARCH("lcsc", F52)), U$2, 1),"")</f>
        <v>0.64116000000000006</v>
      </c>
      <c r="F52" t="s">
        <v>67</v>
      </c>
      <c r="Q52" t="s">
        <v>139</v>
      </c>
    </row>
    <row r="53" spans="1:17" x14ac:dyDescent="0.35">
      <c r="A53" t="s">
        <v>128</v>
      </c>
      <c r="E53" s="1" t="str">
        <f>IF(COUNT(C53:D53)=2,D53*C53*IF(ISNUMBER(SEARCH("lcsc", F53)), U$2, 1),"")</f>
        <v/>
      </c>
    </row>
    <row r="54" spans="1:17" x14ac:dyDescent="0.35">
      <c r="A54" t="s">
        <v>25</v>
      </c>
      <c r="C54">
        <v>1</v>
      </c>
      <c r="D54" s="1">
        <v>0.67</v>
      </c>
      <c r="E54" s="1">
        <f>IF(COUNT(C54:D54)=2,D54*C54*IF(ISNUMBER(SEARCH("lcsc", F54)), U$2, 1),"")</f>
        <v>0.91790000000000016</v>
      </c>
      <c r="F54" t="s">
        <v>41</v>
      </c>
    </row>
    <row r="55" spans="1:17" x14ac:dyDescent="0.35">
      <c r="A55" t="s">
        <v>27</v>
      </c>
      <c r="B55" t="s">
        <v>28</v>
      </c>
      <c r="C55" t="s">
        <v>35</v>
      </c>
    </row>
    <row r="56" spans="1:17" x14ac:dyDescent="0.35">
      <c r="A56" t="s">
        <v>33</v>
      </c>
      <c r="B56" t="s">
        <v>34</v>
      </c>
      <c r="C56" t="s">
        <v>66</v>
      </c>
      <c r="E56" s="1" t="str">
        <f>IF(COUNT(C56:D56)=2,D56*C56*IF(ISNUMBER(SEARCH("lcsc", F56)), U$2, 1),"")</f>
        <v/>
      </c>
    </row>
    <row r="57" spans="1:17" x14ac:dyDescent="0.35">
      <c r="A57" t="s">
        <v>51</v>
      </c>
      <c r="B57" t="str">
        <f>TEXT("10", "#")</f>
        <v>10</v>
      </c>
      <c r="C57">
        <v>0.02</v>
      </c>
      <c r="D57" s="1">
        <v>0.39</v>
      </c>
      <c r="E57" s="1">
        <f>IF(COUNT(C57:D57)=2,D57*C57*IF(ISNUMBER(SEARCH("lcsc", F57)), U$2, 1),"")</f>
        <v>1.0686000000000001E-2</v>
      </c>
      <c r="F57" t="s">
        <v>135</v>
      </c>
      <c r="Q57" t="s">
        <v>52</v>
      </c>
    </row>
    <row r="58" spans="1:17" x14ac:dyDescent="0.35">
      <c r="A58" t="s">
        <v>93</v>
      </c>
      <c r="B58" t="s">
        <v>15</v>
      </c>
      <c r="C58" t="s">
        <v>35</v>
      </c>
      <c r="E58" s="1" t="str">
        <f>IF(COUNT(C58:D58)=2,D58*C58*IF(ISNUMBER(SEARCH("lcsc", F58)), U$2, 1),"")</f>
        <v/>
      </c>
    </row>
    <row r="59" spans="1:17" x14ac:dyDescent="0.35">
      <c r="A59" t="s">
        <v>129</v>
      </c>
    </row>
    <row r="60" spans="1:17" x14ac:dyDescent="0.35">
      <c r="A60" t="s">
        <v>59</v>
      </c>
      <c r="C60">
        <v>2</v>
      </c>
      <c r="D60" s="1">
        <v>0.68</v>
      </c>
      <c r="E60" s="1">
        <f t="shared" ref="E60:E65" si="5">IF(COUNT(C60:D60)=2,D60*C60*IF(ISNUMBER(SEARCH("lcsc", F60)), U$2, 1),"")</f>
        <v>1.36</v>
      </c>
      <c r="F60" t="s">
        <v>60</v>
      </c>
    </row>
    <row r="61" spans="1:17" x14ac:dyDescent="0.35">
      <c r="A61" t="s">
        <v>130</v>
      </c>
      <c r="C61">
        <v>2</v>
      </c>
      <c r="D61" s="1">
        <v>0.81</v>
      </c>
      <c r="E61" s="1">
        <f t="shared" si="5"/>
        <v>1.62</v>
      </c>
      <c r="F61" t="s">
        <v>131</v>
      </c>
    </row>
    <row r="62" spans="1:17" x14ac:dyDescent="0.35">
      <c r="A62" t="s">
        <v>36</v>
      </c>
      <c r="E62" s="1" t="str">
        <f t="shared" si="5"/>
        <v/>
      </c>
    </row>
    <row r="63" spans="1:17" x14ac:dyDescent="0.35">
      <c r="A63" t="s">
        <v>132</v>
      </c>
      <c r="C63">
        <v>1</v>
      </c>
      <c r="D63" s="1">
        <v>0.47</v>
      </c>
      <c r="E63" s="1">
        <f t="shared" si="5"/>
        <v>0.64390000000000003</v>
      </c>
      <c r="F63" t="s">
        <v>133</v>
      </c>
    </row>
    <row r="64" spans="1:17" x14ac:dyDescent="0.35">
      <c r="A64" t="s">
        <v>38</v>
      </c>
      <c r="C64">
        <v>1</v>
      </c>
      <c r="D64" s="1">
        <v>0.5</v>
      </c>
      <c r="E64" s="1">
        <f t="shared" si="5"/>
        <v>0.68500000000000005</v>
      </c>
      <c r="F64" t="s">
        <v>39</v>
      </c>
    </row>
    <row r="65" spans="1:6" x14ac:dyDescent="0.35">
      <c r="A65" t="s">
        <v>37</v>
      </c>
      <c r="C65">
        <v>0.4</v>
      </c>
      <c r="D65" s="1">
        <v>1.27</v>
      </c>
      <c r="E65" s="1">
        <f t="shared" si="5"/>
        <v>0.69596000000000002</v>
      </c>
      <c r="F65" t="s">
        <v>134</v>
      </c>
    </row>
    <row r="66" spans="1:6" x14ac:dyDescent="0.35">
      <c r="D66" s="1" t="s">
        <v>29</v>
      </c>
      <c r="E66" s="1">
        <f>SUM(E2:E65)</f>
        <v>100.083777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2026-03-06T17:12:10Z</dcterms:modified>
</cp:coreProperties>
</file>