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80243CE5-BB28-45B3-B7D1-5A1DFBA0A4D1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1" l="1"/>
  <c r="E62" i="1"/>
  <c r="E60" i="1"/>
  <c r="E28" i="1"/>
  <c r="E23" i="1"/>
  <c r="E24" i="1"/>
  <c r="E25" i="1"/>
  <c r="E26" i="1"/>
  <c r="E29" i="1"/>
  <c r="B20" i="1"/>
  <c r="B56" i="1"/>
  <c r="E18" i="1"/>
  <c r="E19" i="1"/>
  <c r="E20" i="1"/>
  <c r="E21" i="1"/>
  <c r="E15" i="1" l="1"/>
  <c r="E16" i="1"/>
  <c r="E17" i="1"/>
  <c r="E7" i="1"/>
  <c r="E8" i="1"/>
  <c r="E9" i="1"/>
  <c r="E22" i="1" l="1"/>
  <c r="E56" i="1" l="1"/>
  <c r="E4" i="1"/>
  <c r="E5" i="1"/>
  <c r="E6" i="1"/>
  <c r="E10" i="1"/>
  <c r="E11" i="1"/>
  <c r="E13" i="1"/>
  <c r="E14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6" i="1"/>
  <c r="E47" i="1"/>
  <c r="E49" i="1"/>
  <c r="E50" i="1"/>
  <c r="E51" i="1"/>
  <c r="E52" i="1"/>
  <c r="E53" i="1"/>
  <c r="E27" i="1"/>
  <c r="E55" i="1"/>
  <c r="E57" i="1"/>
  <c r="E59" i="1"/>
  <c r="E63" i="1"/>
  <c r="E64" i="1"/>
  <c r="E3" i="1"/>
  <c r="E2" i="1" l="1"/>
  <c r="E65" i="1" l="1"/>
</calcChain>
</file>

<file path=xl/sharedStrings.xml><?xml version="1.0" encoding="utf-8"?>
<sst xmlns="http://schemas.openxmlformats.org/spreadsheetml/2006/main" count="174" uniqueCount="141">
  <si>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</si>
  <si>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</si>
  <si>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</si>
  <si>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</si>
  <si>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</si>
  <si>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</si>
  <si>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</si>
  <si>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</si>
  <si>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</si>
  <si>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</si>
  <si>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</si>
  <si>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</si>
  <si>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</si>
  <si>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</si>
  <si>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</si>
  <si>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</si>
  <si>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</si>
  <si>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</si>
  <si>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</si>
  <si>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</si>
  <si>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</si>
  <si>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</si>
  <si>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</si>
  <si>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</si>
  <si>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</si>
  <si>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</si>
  <si>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</si>
  <si>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</si>
  <si>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</si>
  <si>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</si>
  <si>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</si>
  <si>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</si>
  <si>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</si>
  <si>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</si>
  <si>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</si>
  <si>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</si>
  <si>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</si>
  <si>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</si>
  <si>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</si>
  <si>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</si>
  <si>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</si>
  <si>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</si>
  <si>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</si>
  <si>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</si>
  <si>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</si>
  <si>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</si>
  <si>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</si>
  <si>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</si>
  <si>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</si>
  <si>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</si>
  <si>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</si>
  <si>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</si>
  <si>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</si>
  <si>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</si>
  <si>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</si>
  <si>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</si>
  <si>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</si>
  <si>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</si>
  <si>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</si>
  <si>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</si>
  <si>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</si>
  <si>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</si>
  <si>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</si>
  <si>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</si>
  <si>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</si>
  <si>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</si>
  <si>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</si>
  <si>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</si>
  <si>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</si>
  <si>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</si>
  <si>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</si>
  <si>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</si>
  <si>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</si>
  <si>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</si>
  <si>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</si>
  <si>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</si>
  <si>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</si>
  <si>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</si>
  <si>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</si>
  <si>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</si>
  <si>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</si>
  <si>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</si>
  <si>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</si>
  <si>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</si>
  <si>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</si>
  <si>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</si>
  <si>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</si>
  <si>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</si>
  <si>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</si>
  <si>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</si>
  <si>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</si>
  <si>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</si>
  <si>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</si>
  <si>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</si>
  <si>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</si>
  <si>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</si>
  <si>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</si>
  <si>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</si>
  <si>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</si>
  <si>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</si>
  <si>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</si>
  <si>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</si>
  <si>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</si>
  <si>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</si>
  <si>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</si>
  <si>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</si>
  <si>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</si>
  <si>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</si>
  <si>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</si>
  <si>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</si>
  <si>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</si>
  <si>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</si>
  <si>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</si>
  <si>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</si>
  <si>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</si>
  <si>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</si>
  <si>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</si>
  <si>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</si>
  <si>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</si>
  <si>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</si>
  <si>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</si>
  <si>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</si>
  <si>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</si>
  <si>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</si>
  <si>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</si>
  <si>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</si>
  <si>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</si>
  <si>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</si>
  <si>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</si>
  <si>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RT0603FRE07390KL</t>
  </si>
  <si>
    <t>https://www.lcsc.com/product-detail/C863775.html</t>
  </si>
  <si>
    <t>*3 out of 10</t>
  </si>
  <si>
    <t>*4 out of 5</t>
  </si>
  <si>
    <t>https://www.lcsc.com/product-detail/C861082.html</t>
  </si>
  <si>
    <t>*8 out of 20</t>
  </si>
  <si>
    <t>*16 out of 50</t>
  </si>
  <si>
    <t>RC0603FR-070RL</t>
  </si>
  <si>
    <t>https://www.lcsc.com/product-detail/C95177.html</t>
  </si>
  <si>
    <t>*8 out of 100</t>
  </si>
  <si>
    <t>​0</t>
  </si>
  <si>
    <t>RT0603BRD0710RL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</si>
</sst>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5"/>
  <sheetViews>
    <sheetView tabSelected="1" topLeftCell="A46" zoomScaleNormal="100" workbookViewId="0">
      <selection activeCell="C56" sqref="C56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76</v>
      </c>
      <c r="E1" s="1" t="s">
        <v>77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75</v>
      </c>
      <c r="U2">
        <v>1.37</v>
      </c>
    </row>
    <row r="3" spans="1:21" x14ac:dyDescent="0.35">
      <c r="A3" t="s">
        <v>84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85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68</v>
      </c>
      <c r="B5" t="s">
        <v>69</v>
      </c>
      <c r="C5">
        <v>4</v>
      </c>
      <c r="D5" s="1">
        <v>1.92</v>
      </c>
      <c r="E5" s="1">
        <f t="shared" si="1"/>
        <v>7.68</v>
      </c>
      <c r="F5" t="s">
        <v>70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88</v>
      </c>
      <c r="B7" t="s">
        <v>15</v>
      </c>
      <c r="C7">
        <v>0.32</v>
      </c>
      <c r="D7" s="1">
        <v>0.33</v>
      </c>
      <c r="E7" s="1">
        <f t="shared" si="1"/>
        <v>0.14467200000000002</v>
      </c>
      <c r="F7" t="s">
        <v>89</v>
      </c>
      <c r="Q7" t="s">
        <v>135</v>
      </c>
    </row>
    <row r="8" spans="1:21" x14ac:dyDescent="0.35">
      <c r="A8" t="s">
        <v>91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92</v>
      </c>
      <c r="Q8" t="s">
        <v>93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86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87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88</v>
      </c>
      <c r="B12" t="s">
        <v>15</v>
      </c>
      <c r="C12" t="s">
        <v>90</v>
      </c>
    </row>
    <row r="13" spans="1:21" x14ac:dyDescent="0.35">
      <c r="A13" t="s">
        <v>94</v>
      </c>
      <c r="E13" s="1" t="str">
        <f>IF(COUNT(C13:D13)=2,D13*C13*IF(ISNUMBER(SEARCH("lcsc", F13)), U$2, 1),"")</f>
        <v/>
      </c>
    </row>
    <row r="14" spans="1:21" x14ac:dyDescent="0.35">
      <c r="A14" t="s">
        <v>82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83</v>
      </c>
    </row>
    <row r="15" spans="1:21" x14ac:dyDescent="0.35">
      <c r="A15" t="s">
        <v>95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96</v>
      </c>
    </row>
    <row r="16" spans="1:21" x14ac:dyDescent="0.35">
      <c r="A16" t="s">
        <v>97</v>
      </c>
      <c r="B16" t="s">
        <v>98</v>
      </c>
      <c r="C16">
        <v>0.04</v>
      </c>
      <c r="D16" s="1">
        <v>0.13</v>
      </c>
      <c r="E16" s="1">
        <f t="shared" si="2"/>
        <v>7.124000000000001E-3</v>
      </c>
      <c r="F16" t="s">
        <v>99</v>
      </c>
      <c r="Q16" t="s">
        <v>42</v>
      </c>
    </row>
    <row r="17" spans="1:17" x14ac:dyDescent="0.35">
      <c r="A17" t="s">
        <v>100</v>
      </c>
      <c r="B17" t="s">
        <v>101</v>
      </c>
      <c r="C17">
        <v>0.04</v>
      </c>
      <c r="D17" s="1">
        <v>0.45</v>
      </c>
      <c r="E17" s="1">
        <f t="shared" si="2"/>
        <v>2.4660000000000005E-2</v>
      </c>
      <c r="F17" t="s">
        <v>102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79</v>
      </c>
    </row>
    <row r="19" spans="1:17" x14ac:dyDescent="0.35">
      <c r="A19" t="s">
        <v>103</v>
      </c>
      <c r="C19">
        <v>0.4</v>
      </c>
      <c r="D19" s="1">
        <v>0.71</v>
      </c>
      <c r="E19" s="1">
        <f t="shared" si="2"/>
        <v>0.38907999999999998</v>
      </c>
      <c r="F19" t="s">
        <v>104</v>
      </c>
      <c r="Q19" t="s">
        <v>78</v>
      </c>
    </row>
    <row r="20" spans="1:17" x14ac:dyDescent="0.35">
      <c r="A20" t="s">
        <v>105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106</v>
      </c>
      <c r="Q20" t="s">
        <v>51</v>
      </c>
    </row>
    <row r="21" spans="1:17" x14ac:dyDescent="0.35">
      <c r="A21" t="s">
        <v>88</v>
      </c>
      <c r="B21" t="s">
        <v>15</v>
      </c>
      <c r="C21" t="s">
        <v>90</v>
      </c>
      <c r="E21" s="1" t="str">
        <f t="shared" si="2"/>
        <v/>
      </c>
    </row>
    <row r="22" spans="1:17" x14ac:dyDescent="0.35">
      <c r="A22" t="s">
        <v>136</v>
      </c>
      <c r="B22" s="2" t="s">
        <v>139</v>
      </c>
      <c r="C22">
        <v>0.08</v>
      </c>
      <c r="D22" s="1">
        <v>0.12</v>
      </c>
      <c r="E22" s="1">
        <f t="shared" ref="E22:E41" si="3">IF(COUNT(C22:D22)=2,D22*C22*IF(ISNUMBER(SEARCH("lcsc", F22)), U$2, 1),"")</f>
        <v>1.3152E-2</v>
      </c>
      <c r="F22" t="s">
        <v>137</v>
      </c>
      <c r="Q22" t="s">
        <v>138</v>
      </c>
    </row>
    <row r="23" spans="1:17" x14ac:dyDescent="0.35">
      <c r="A23" t="s">
        <v>107</v>
      </c>
      <c r="E23" s="1" t="str">
        <f t="shared" si="3"/>
        <v/>
      </c>
    </row>
    <row r="24" spans="1:17" x14ac:dyDescent="0.35">
      <c r="A24" t="s">
        <v>108</v>
      </c>
      <c r="C24">
        <v>1</v>
      </c>
      <c r="D24" s="1">
        <v>0.75</v>
      </c>
      <c r="E24" s="1">
        <f t="shared" si="3"/>
        <v>0.75</v>
      </c>
      <c r="F24" t="s">
        <v>109</v>
      </c>
    </row>
    <row r="25" spans="1:17" x14ac:dyDescent="0.35">
      <c r="A25" t="s">
        <v>27</v>
      </c>
      <c r="B25" t="s">
        <v>28</v>
      </c>
      <c r="C25" t="s">
        <v>65</v>
      </c>
      <c r="E25" s="1" t="str">
        <f t="shared" si="3"/>
        <v/>
      </c>
    </row>
    <row r="26" spans="1:17" x14ac:dyDescent="0.35">
      <c r="A26" t="s">
        <v>7</v>
      </c>
      <c r="B26" t="s">
        <v>13</v>
      </c>
      <c r="C26" t="s">
        <v>35</v>
      </c>
      <c r="E26" s="1" t="str">
        <f t="shared" si="3"/>
        <v/>
      </c>
    </row>
    <row r="27" spans="1:17" x14ac:dyDescent="0.35">
      <c r="A27" t="s">
        <v>26</v>
      </c>
      <c r="C27">
        <v>0.1</v>
      </c>
      <c r="D27" s="1">
        <v>0.51</v>
      </c>
      <c r="E27" s="1">
        <f t="shared" si="3"/>
        <v>6.9870000000000015E-2</v>
      </c>
      <c r="F27" t="s">
        <v>46</v>
      </c>
      <c r="Q27" t="s">
        <v>47</v>
      </c>
    </row>
    <row r="28" spans="1:17" x14ac:dyDescent="0.35">
      <c r="A28" t="s">
        <v>54</v>
      </c>
      <c r="B28" t="s">
        <v>55</v>
      </c>
      <c r="C28">
        <v>0.04</v>
      </c>
      <c r="D28" s="1">
        <v>0.52</v>
      </c>
      <c r="E28" s="1">
        <f t="shared" si="3"/>
        <v>2.8496000000000004E-2</v>
      </c>
      <c r="F28" t="s">
        <v>56</v>
      </c>
      <c r="Q28" t="s">
        <v>121</v>
      </c>
    </row>
    <row r="29" spans="1:17" x14ac:dyDescent="0.35">
      <c r="A29" t="s">
        <v>8</v>
      </c>
      <c r="E29" s="1" t="str">
        <f t="shared" si="3"/>
        <v/>
      </c>
    </row>
    <row r="30" spans="1:17" x14ac:dyDescent="0.35">
      <c r="A30" t="s">
        <v>110</v>
      </c>
      <c r="B30" t="s">
        <v>14</v>
      </c>
      <c r="C30">
        <v>2</v>
      </c>
      <c r="D30" s="1">
        <v>2.99</v>
      </c>
      <c r="E30" s="1">
        <f t="shared" si="3"/>
        <v>8.1926000000000005</v>
      </c>
      <c r="F30" t="s">
        <v>111</v>
      </c>
    </row>
    <row r="31" spans="1:17" x14ac:dyDescent="0.35">
      <c r="A31" t="s">
        <v>21</v>
      </c>
      <c r="E31" s="1" t="str">
        <f t="shared" si="3"/>
        <v/>
      </c>
    </row>
    <row r="32" spans="1:17" x14ac:dyDescent="0.35">
      <c r="A32" t="s">
        <v>71</v>
      </c>
      <c r="B32" t="s">
        <v>72</v>
      </c>
      <c r="C32">
        <v>0.4</v>
      </c>
      <c r="D32" s="1">
        <v>1.35</v>
      </c>
      <c r="E32" s="1">
        <f t="shared" si="3"/>
        <v>0.73980000000000012</v>
      </c>
      <c r="F32" t="s">
        <v>73</v>
      </c>
      <c r="Q32" t="s">
        <v>74</v>
      </c>
    </row>
    <row r="33" spans="1:17" x14ac:dyDescent="0.35">
      <c r="A33" t="s">
        <v>22</v>
      </c>
      <c r="B33" t="s">
        <v>23</v>
      </c>
      <c r="C33">
        <v>4</v>
      </c>
      <c r="D33" s="1">
        <v>3.13</v>
      </c>
      <c r="E33" s="1">
        <f t="shared" si="3"/>
        <v>17.1524</v>
      </c>
      <c r="F33" t="s">
        <v>40</v>
      </c>
    </row>
    <row r="34" spans="1:17" x14ac:dyDescent="0.35">
      <c r="A34" t="s">
        <v>30</v>
      </c>
      <c r="E34" s="1" t="str">
        <f t="shared" si="3"/>
        <v/>
      </c>
    </row>
    <row r="35" spans="1:17" x14ac:dyDescent="0.35">
      <c r="A35" t="s">
        <v>80</v>
      </c>
      <c r="C35">
        <v>1</v>
      </c>
      <c r="D35" s="1">
        <v>2.95</v>
      </c>
      <c r="E35" s="1">
        <f t="shared" si="3"/>
        <v>2.95</v>
      </c>
      <c r="F35" t="s">
        <v>81</v>
      </c>
    </row>
    <row r="36" spans="1:17" x14ac:dyDescent="0.35">
      <c r="A36" t="s">
        <v>32</v>
      </c>
      <c r="C36">
        <v>0.01</v>
      </c>
      <c r="D36" s="1">
        <v>6.94</v>
      </c>
      <c r="E36" s="1">
        <f t="shared" si="3"/>
        <v>6.9400000000000003E-2</v>
      </c>
      <c r="F36" t="s">
        <v>31</v>
      </c>
    </row>
    <row r="37" spans="1:17" x14ac:dyDescent="0.35">
      <c r="A37" t="s">
        <v>18</v>
      </c>
      <c r="E37" s="1" t="str">
        <f t="shared" si="3"/>
        <v/>
      </c>
    </row>
    <row r="38" spans="1:17" x14ac:dyDescent="0.35">
      <c r="A38" t="s">
        <v>112</v>
      </c>
      <c r="B38" t="s">
        <v>113</v>
      </c>
      <c r="C38">
        <v>0.02</v>
      </c>
      <c r="D38" s="1">
        <v>0.52</v>
      </c>
      <c r="E38" s="1">
        <f t="shared" si="3"/>
        <v>1.4248000000000002E-2</v>
      </c>
      <c r="F38" t="s">
        <v>114</v>
      </c>
      <c r="Q38" t="s">
        <v>45</v>
      </c>
    </row>
    <row r="39" spans="1:17" x14ac:dyDescent="0.35">
      <c r="A39" t="s">
        <v>115</v>
      </c>
      <c r="B39" t="s">
        <v>116</v>
      </c>
      <c r="C39">
        <v>0.02</v>
      </c>
      <c r="D39" s="1">
        <v>0.74</v>
      </c>
      <c r="E39" s="1">
        <f t="shared" si="3"/>
        <v>2.0276000000000002E-2</v>
      </c>
      <c r="F39" t="s">
        <v>117</v>
      </c>
      <c r="Q39" t="s">
        <v>45</v>
      </c>
    </row>
    <row r="40" spans="1:17" x14ac:dyDescent="0.35">
      <c r="A40" t="s">
        <v>118</v>
      </c>
      <c r="B40" t="s">
        <v>119</v>
      </c>
      <c r="C40">
        <v>0.02</v>
      </c>
      <c r="D40" s="1">
        <v>0.55000000000000004</v>
      </c>
      <c r="E40" s="1">
        <f t="shared" si="3"/>
        <v>1.5070000000000004E-2</v>
      </c>
      <c r="F40" t="s">
        <v>120</v>
      </c>
      <c r="Q40" t="s">
        <v>45</v>
      </c>
    </row>
    <row r="41" spans="1:17" x14ac:dyDescent="0.35">
      <c r="A41" t="s">
        <v>20</v>
      </c>
      <c r="E41" s="1" t="str">
        <f t="shared" si="3"/>
        <v/>
      </c>
    </row>
    <row r="42" spans="1:17" x14ac:dyDescent="0.35">
      <c r="A42" t="s">
        <v>88</v>
      </c>
      <c r="B42" t="s">
        <v>15</v>
      </c>
      <c r="C42" t="s">
        <v>65</v>
      </c>
    </row>
    <row r="43" spans="1:17" x14ac:dyDescent="0.35">
      <c r="A43" t="s">
        <v>44</v>
      </c>
      <c r="B43" t="s">
        <v>16</v>
      </c>
      <c r="C43">
        <v>0.3</v>
      </c>
      <c r="D43" s="1">
        <v>0.15</v>
      </c>
      <c r="E43" s="1">
        <f>IF(COUNT(C43:D43)=2,D43*C43*IF(ISNUMBER(SEARCH("lcsc", F43)), U$2, 1),"")</f>
        <v>6.1650000000000003E-2</v>
      </c>
      <c r="F43" t="s">
        <v>43</v>
      </c>
      <c r="Q43" t="s">
        <v>131</v>
      </c>
    </row>
    <row r="44" spans="1:17" x14ac:dyDescent="0.35">
      <c r="A44" t="s">
        <v>60</v>
      </c>
      <c r="B44" t="s">
        <v>17</v>
      </c>
      <c r="C44">
        <v>0.02</v>
      </c>
      <c r="D44" s="1">
        <v>0.71</v>
      </c>
      <c r="E44" s="1">
        <f>IF(COUNT(C44:D44)=2,D44*C44*IF(ISNUMBER(SEARCH("lcsc", F44)), U$2, 1),"")</f>
        <v>1.9453999999999999E-2</v>
      </c>
      <c r="F44" t="s">
        <v>61</v>
      </c>
      <c r="Q44" t="s">
        <v>51</v>
      </c>
    </row>
    <row r="45" spans="1:17" x14ac:dyDescent="0.35">
      <c r="A45" t="s">
        <v>91</v>
      </c>
      <c r="B45" t="s">
        <v>19</v>
      </c>
      <c r="C45" t="s">
        <v>35</v>
      </c>
    </row>
    <row r="46" spans="1:17" x14ac:dyDescent="0.35">
      <c r="A46" t="s">
        <v>57</v>
      </c>
      <c r="B46" t="s">
        <v>24</v>
      </c>
      <c r="C46">
        <v>0.02</v>
      </c>
      <c r="D46" s="1">
        <v>0.55000000000000004</v>
      </c>
      <c r="E46" s="1">
        <f>IF(COUNT(C46:D46)=2,D46*C46*IF(ISNUMBER(SEARCH("lcsc", F46)), U$2, 1),"")</f>
        <v>1.5070000000000004E-2</v>
      </c>
      <c r="F46" t="s">
        <v>52</v>
      </c>
      <c r="Q46" t="s">
        <v>45</v>
      </c>
    </row>
    <row r="47" spans="1:17" x14ac:dyDescent="0.35">
      <c r="A47" t="s">
        <v>129</v>
      </c>
      <c r="B47" t="s">
        <v>53</v>
      </c>
      <c r="C47">
        <v>0.02</v>
      </c>
      <c r="D47" s="1">
        <v>0.54</v>
      </c>
      <c r="E47" s="1">
        <f>IF(COUNT(C47:D47)=2,D47*C47*IF(ISNUMBER(SEARCH("lcsc", F47)), U$2, 1),"")</f>
        <v>1.4796000000000002E-2</v>
      </c>
      <c r="F47" t="s">
        <v>130</v>
      </c>
      <c r="Q47" t="s">
        <v>45</v>
      </c>
    </row>
    <row r="48" spans="1:17" x14ac:dyDescent="0.35">
      <c r="A48" t="s">
        <v>54</v>
      </c>
      <c r="B48" t="s">
        <v>55</v>
      </c>
      <c r="C48" t="s">
        <v>35</v>
      </c>
    </row>
    <row r="49" spans="1:17" x14ac:dyDescent="0.35">
      <c r="A49" t="s">
        <v>62</v>
      </c>
      <c r="C49">
        <v>1</v>
      </c>
      <c r="D49" s="1">
        <v>0.23</v>
      </c>
      <c r="E49" s="1">
        <f>IF(COUNT(C49:D49)=2,D49*C49*IF(ISNUMBER(SEARCH("lcsc", F49)), U$2, 1),"")</f>
        <v>0.23</v>
      </c>
      <c r="F49" t="s">
        <v>63</v>
      </c>
    </row>
    <row r="50" spans="1:17" x14ac:dyDescent="0.35">
      <c r="A50" t="s">
        <v>33</v>
      </c>
      <c r="B50" t="s">
        <v>34</v>
      </c>
      <c r="C50">
        <v>0.08</v>
      </c>
      <c r="D50" s="1">
        <v>0.52</v>
      </c>
      <c r="E50" s="1">
        <f>IF(COUNT(C50:D50)=2,D50*C50*IF(ISNUMBER(SEARCH("lcsc", F50)), U$2, 1),"")</f>
        <v>5.6992000000000008E-2</v>
      </c>
      <c r="F50" t="s">
        <v>49</v>
      </c>
      <c r="Q50" t="s">
        <v>64</v>
      </c>
    </row>
    <row r="51" spans="1:17" x14ac:dyDescent="0.35">
      <c r="A51" t="s">
        <v>67</v>
      </c>
      <c r="C51">
        <v>0.8</v>
      </c>
      <c r="D51" s="1">
        <v>0.39</v>
      </c>
      <c r="E51" s="1">
        <f>IF(COUNT(C51:D51)=2,D51*C51*IF(ISNUMBER(SEARCH("lcsc", F51)), U$2, 1),"")</f>
        <v>0.4274400000000001</v>
      </c>
      <c r="F51" t="s">
        <v>66</v>
      </c>
      <c r="Q51" t="s">
        <v>132</v>
      </c>
    </row>
    <row r="52" spans="1:17" x14ac:dyDescent="0.35">
      <c r="A52" t="s">
        <v>122</v>
      </c>
      <c r="E52" s="1" t="str">
        <f>IF(COUNT(C52:D52)=2,D52*C52*IF(ISNUMBER(SEARCH("lcsc", F52)), U$2, 1),"")</f>
        <v/>
      </c>
    </row>
    <row r="53" spans="1:17" x14ac:dyDescent="0.35">
      <c r="A53" t="s">
        <v>25</v>
      </c>
      <c r="C53">
        <v>1</v>
      </c>
      <c r="D53" s="1">
        <v>0.67</v>
      </c>
      <c r="E53" s="1">
        <f>IF(COUNT(C53:D53)=2,D53*C53*IF(ISNUMBER(SEARCH("lcsc", F53)), U$2, 1),"")</f>
        <v>0.91790000000000016</v>
      </c>
      <c r="F53" t="s">
        <v>41</v>
      </c>
    </row>
    <row r="54" spans="1:17" x14ac:dyDescent="0.35">
      <c r="A54" t="s">
        <v>27</v>
      </c>
      <c r="B54" t="s">
        <v>28</v>
      </c>
      <c r="C54" t="s">
        <v>35</v>
      </c>
    </row>
    <row r="55" spans="1:17" x14ac:dyDescent="0.35">
      <c r="A55" t="s">
        <v>33</v>
      </c>
      <c r="B55" t="s">
        <v>34</v>
      </c>
      <c r="C55" t="s">
        <v>65</v>
      </c>
      <c r="E55" s="1" t="str">
        <f>IF(COUNT(C55:D55)=2,D55*C55*IF(ISNUMBER(SEARCH("lcsc", F55)), U$2, 1),"")</f>
        <v/>
      </c>
    </row>
    <row r="56" spans="1:17" x14ac:dyDescent="0.35">
      <c r="A56" t="s">
        <v>140</v>
      </c>
      <c r="B56" t="str">
        <f>TEXT("10", "#")</f>
        <v>10</v>
      </c>
      <c r="C56">
        <v>0.4</v>
      </c>
      <c r="D56" s="1">
        <v>0.94</v>
      </c>
      <c r="E56" s="1">
        <f>IF(COUNT(C56:D56)=2,D56*C56*IF(ISNUMBER(SEARCH("lcsc", F56)), U$2, 1),"")</f>
        <v>0.51512000000000002</v>
      </c>
      <c r="F56" t="s">
        <v>133</v>
      </c>
      <c r="Q56" t="s">
        <v>134</v>
      </c>
    </row>
    <row r="57" spans="1:17" x14ac:dyDescent="0.35">
      <c r="A57" t="s">
        <v>88</v>
      </c>
      <c r="B57" t="s">
        <v>15</v>
      </c>
      <c r="C57" t="s">
        <v>35</v>
      </c>
      <c r="E57" s="1" t="str">
        <f>IF(COUNT(C57:D57)=2,D57*C57*IF(ISNUMBER(SEARCH("lcsc", F57)), U$2, 1),"")</f>
        <v/>
      </c>
    </row>
    <row r="58" spans="1:17" x14ac:dyDescent="0.35">
      <c r="A58" t="s">
        <v>123</v>
      </c>
    </row>
    <row r="59" spans="1:17" x14ac:dyDescent="0.35">
      <c r="A59" t="s">
        <v>58</v>
      </c>
      <c r="C59">
        <v>2</v>
      </c>
      <c r="D59" s="1">
        <v>0.68</v>
      </c>
      <c r="E59" s="1">
        <f t="shared" ref="E59:E64" si="4">IF(COUNT(C59:D59)=2,D59*C59*IF(ISNUMBER(SEARCH("lcsc", F59)), U$2, 1),"")</f>
        <v>1.36</v>
      </c>
      <c r="F59" t="s">
        <v>59</v>
      </c>
    </row>
    <row r="60" spans="1:17" x14ac:dyDescent="0.35">
      <c r="A60" t="s">
        <v>124</v>
      </c>
      <c r="C60">
        <v>2</v>
      </c>
      <c r="D60" s="1">
        <v>0.81</v>
      </c>
      <c r="E60" s="1">
        <f t="shared" si="4"/>
        <v>1.62</v>
      </c>
      <c r="F60" t="s">
        <v>125</v>
      </c>
    </row>
    <row r="61" spans="1:17" x14ac:dyDescent="0.35">
      <c r="A61" t="s">
        <v>36</v>
      </c>
      <c r="E61" s="1" t="str">
        <f t="shared" si="4"/>
        <v/>
      </c>
    </row>
    <row r="62" spans="1:17" x14ac:dyDescent="0.35">
      <c r="A62" t="s">
        <v>126</v>
      </c>
      <c r="C62">
        <v>1</v>
      </c>
      <c r="D62" s="1">
        <v>0.47</v>
      </c>
      <c r="E62" s="1">
        <f t="shared" si="4"/>
        <v>0.64390000000000003</v>
      </c>
      <c r="F62" t="s">
        <v>127</v>
      </c>
    </row>
    <row r="63" spans="1:17" x14ac:dyDescent="0.35">
      <c r="A63" t="s">
        <v>38</v>
      </c>
      <c r="C63">
        <v>1</v>
      </c>
      <c r="D63" s="1">
        <v>0.5</v>
      </c>
      <c r="E63" s="1">
        <f t="shared" si="4"/>
        <v>0.68500000000000005</v>
      </c>
      <c r="F63" t="s">
        <v>39</v>
      </c>
    </row>
    <row r="64" spans="1:17" x14ac:dyDescent="0.35">
      <c r="A64" t="s">
        <v>37</v>
      </c>
      <c r="C64">
        <v>0.4</v>
      </c>
      <c r="D64" s="1">
        <v>1.27</v>
      </c>
      <c r="E64" s="1">
        <f t="shared" si="4"/>
        <v>0.69596000000000002</v>
      </c>
      <c r="F64" t="s">
        <v>128</v>
      </c>
    </row>
    <row r="65" spans="4:5" x14ac:dyDescent="0.35">
      <c r="D65" s="1" t="s">
        <v>29</v>
      </c>
      <c r="E65" s="1">
        <f>SUM(E2:E64)</f>
        <v>100.38435499999999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2026-03-19T21:57:07Z</dcterms:modified>
</cp:coreProperties>
</file>