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WRT\MarsRoverElectricalKiCad\projects\LM5143_Buck\"/>
    </mc:Choice>
  </mc:AlternateContent>
  <xr:revisionPtr revIDLastSave="0" documentId="13_ncr:1_{0B1E6B0F-1DE7-416B-B11D-1230B8FB98AB}" xr6:coauthVersionLast="47" xr6:coauthVersionMax="47" xr10:uidLastSave="{00000000-0000-0000-0000-000000000000}"/>
  <bookViews>
    <workbookView xWindow="-110" yWindow="-110" windowWidth="25820" windowHeight="13900" xr2:uid="{49714629-2E5D-47B8-A555-D616FDA96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E29" i="1"/>
  <c r="E30" i="1"/>
  <c r="E31" i="1"/>
  <c r="B47" i="1" l="1"/>
  <c r="E47" i="1"/>
  <c r="E26" i="1"/>
  <c r="E27" i="1"/>
  <c r="E2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8" i="1"/>
  <c r="E49" i="1"/>
  <c r="E50" i="1"/>
  <c r="E51" i="1"/>
  <c r="E52" i="1"/>
  <c r="E3" i="1"/>
  <c r="E2" i="1" l="1"/>
  <c r="E53" i="1" l="1"/>
</calcChain>
</file>

<file path=xl/sharedStrings.xml><?xml version="1.0" encoding="utf-8"?>
<sst xmlns="http://schemas.openxmlformats.org/spreadsheetml/2006/main" count="141" uniqueCount="129">
  <si>
    <t>Capacitor In</t>
  </si>
  <si>
    <t>Part/Label</t>
  </si>
  <si>
    <t>Qty.</t>
  </si>
  <si>
    <t>Link</t>
  </si>
  <si>
    <t>CL32B475KCJZ4NE</t>
  </si>
  <si>
    <t>https://www.digikey.ca/en/products/detail/samsung-electro-mechanics/CL32B475KCJZ4NE/27519552</t>
  </si>
  <si>
    <t>Capacitor Out</t>
  </si>
  <si>
    <t>CL32B106KBJNNNE</t>
  </si>
  <si>
    <t>Inductor</t>
  </si>
  <si>
    <t>ER26A3DC-100K</t>
  </si>
  <si>
    <t>https://www.digikey.ca/en/products/detail/bourns-inc/ER26A3DC-100K/27574578</t>
  </si>
  <si>
    <t>Buck Controller</t>
  </si>
  <si>
    <t>LM5143RHAR</t>
  </si>
  <si>
    <t>https://www.digikey.ca/en/products/detail/texas-instruments/LM5143RHAR/16341524</t>
  </si>
  <si>
    <t>Value</t>
  </si>
  <si>
    <t>4.7uF</t>
  </si>
  <si>
    <t>100uF</t>
  </si>
  <si>
    <t>10uF</t>
  </si>
  <si>
    <t>10uH</t>
  </si>
  <si>
    <t>100nF</t>
  </si>
  <si>
    <t>2.2uF</t>
  </si>
  <si>
    <t>470nF</t>
  </si>
  <si>
    <t>Compensation</t>
  </si>
  <si>
    <t>10nF</t>
  </si>
  <si>
    <t>Others</t>
  </si>
  <si>
    <t>Shunt Resistors</t>
  </si>
  <si>
    <t>PCSR2512BR005M6</t>
  </si>
  <si>
    <t>5m</t>
  </si>
  <si>
    <t>100k</t>
  </si>
  <si>
    <t>INA226AIDGSR</t>
  </si>
  <si>
    <t>Telemetry + LDO</t>
  </si>
  <si>
    <t>TLV74033PDBVR</t>
  </si>
  <si>
    <t>CL10B105KA8NNNC</t>
  </si>
  <si>
    <t>1uF</t>
  </si>
  <si>
    <t>Total Cost:</t>
  </si>
  <si>
    <t>Heat Sink</t>
  </si>
  <si>
    <t>https://www.digikey.ca/en/products/detail/adafruit-industries-llc/1468/7241459</t>
  </si>
  <si>
    <t>Heat Sink Tape</t>
  </si>
  <si>
    <t>RT0603FRE073K3L</t>
  </si>
  <si>
    <t>3.3k</t>
  </si>
  <si>
    <t>Tallied Above (1x)</t>
  </si>
  <si>
    <t>Connectors</t>
  </si>
  <si>
    <t>SM04B-GHS-TB</t>
  </si>
  <si>
    <t>XT60PW-F</t>
  </si>
  <si>
    <t>https://www.lcsc.com/product-detail/C428722.html</t>
  </si>
  <si>
    <t>https://www.lcsc.com/product-detail/C48982662.html</t>
  </si>
  <si>
    <t>https://www.lcsc.com/product-detail/C49851.html</t>
  </si>
  <si>
    <t>*1 out of 100</t>
  </si>
  <si>
    <t>https://www.lcsc.com/product-detail/C472799.html</t>
  </si>
  <si>
    <t>*4 out of 100</t>
  </si>
  <si>
    <t>https://www.lcsc.com/product-detail/C1591.html</t>
  </si>
  <si>
    <t>https://www.lcsc.com/product-detail/C19110.html</t>
  </si>
  <si>
    <t>*2 out of 10</t>
  </si>
  <si>
    <t>CL21B225KAFNNNE</t>
  </si>
  <si>
    <t>CL10B103KBANNNC</t>
  </si>
  <si>
    <t>https://www.lcsc.com/product-detail/C1589.html</t>
  </si>
  <si>
    <t>*1 out of 50</t>
  </si>
  <si>
    <t>CL10B104KB8NNNC</t>
  </si>
  <si>
    <t>https://www.lcsc.com/product-detail/C3743587.html</t>
  </si>
  <si>
    <t>*1 out of 10</t>
  </si>
  <si>
    <t>https://www.lcsc.com/product-detail/C29936.html</t>
  </si>
  <si>
    <t>https://www.lcsc.com/product-detail/C863782.html</t>
  </si>
  <si>
    <t>https://www.lcsc.com/product-detail/C138687.html</t>
  </si>
  <si>
    <t>*3 out of 50</t>
  </si>
  <si>
    <t>RC0603FR-0710RL</t>
  </si>
  <si>
    <t>https://www.lcsc.com/product-detail/C109318.html</t>
  </si>
  <si>
    <t>*2 out of 100</t>
  </si>
  <si>
    <t>https://www.lcsc.com/product-detail/C728638.html</t>
  </si>
  <si>
    <t>RC0603FR-07390KL</t>
  </si>
  <si>
    <t>390k</t>
  </si>
  <si>
    <t>https://www.lcsc.com/product-detail/C137735.html</t>
  </si>
  <si>
    <t>RT0603FRE0710KL</t>
  </si>
  <si>
    <t>10k</t>
  </si>
  <si>
    <t>https://www.lcsc.com/product-detail/C469659.html</t>
  </si>
  <si>
    <t>https://www.lcsc.com/product-detail/C863663.html</t>
  </si>
  <si>
    <t>RT0603FRE07100KL</t>
  </si>
  <si>
    <t>SLW-1478144-5A-S-D</t>
  </si>
  <si>
    <t>https://www.digikey.ca/en/products/detail/same-sky-formerly-cui-devices/SLW-1478144-5A-S-D/24399221</t>
  </si>
  <si>
    <t>CL10B474KA8NNNC</t>
  </si>
  <si>
    <t>https://www.lcsc.com/product-detail/C1623.html</t>
  </si>
  <si>
    <t>B18W1NG--20C000114U1930</t>
  </si>
  <si>
    <t>https://www.digikey.ca/en/products/detail/harvatek-corporation/B18W1NG-20C000114U1930/13588743</t>
  </si>
  <si>
    <t>*4 out of 50</t>
  </si>
  <si>
    <t>Tallied Above (3x)</t>
  </si>
  <si>
    <t>https://www.lcsc.com/product-detail/C5199801.html</t>
  </si>
  <si>
    <t>RH-5001</t>
  </si>
  <si>
    <t>https://www.digikey.ca/en/products/detail/jst-sales-america-inc/SM04B-GHS-TB/807788</t>
  </si>
  <si>
    <t>EKYC101ELL331MK25S</t>
  </si>
  <si>
    <t>330uF</t>
  </si>
  <si>
    <t>https://www.digikey.ca/en/products/detail/chemi-con/EKYC101ELL331MK25S/26120648</t>
  </si>
  <si>
    <t>GanFET</t>
  </si>
  <si>
    <t>IGC019S06S1XTMA1</t>
  </si>
  <si>
    <t>https://www.digikey.ca/en/products/detail/infineon-technologies/IGC019S06S1XTMA1/25902301</t>
  </si>
  <si>
    <t>ASR-K-3-2.2F</t>
  </si>
  <si>
    <t>2.2m</t>
  </si>
  <si>
    <t>https://www.lcsc.com/product-detail/C6075476.html</t>
  </si>
  <si>
    <t>*2 out of 5</t>
  </si>
  <si>
    <t>RT0603FRE0718KL</t>
  </si>
  <si>
    <t>18k</t>
  </si>
  <si>
    <t>USD to CAD Conversion Rate</t>
  </si>
  <si>
    <t>Price (USD or CAD)</t>
  </si>
  <si>
    <t>Sum (CAD)</t>
  </si>
  <si>
    <t>CL10B332KB8NNNC</t>
  </si>
  <si>
    <t>3.3nF</t>
  </si>
  <si>
    <t>https://www.lcsc.com/product-detail/C1613.html</t>
  </si>
  <si>
    <t>*1 out of 20</t>
  </si>
  <si>
    <t>CL10C820JB81PNC</t>
  </si>
  <si>
    <t>82pF</t>
  </si>
  <si>
    <t>V2PM10L-M3/H</t>
  </si>
  <si>
    <t>https://www.digikey.ca/en/products/detail/vishay-general-semiconductor-diodes-division/V2PM10L-M3-H/10638928</t>
  </si>
  <si>
    <t>MBR15H120PC-AU</t>
  </si>
  <si>
    <t>https://www.digikey.ca/en/products/detail/panjit-international-inc/MBR15H120PC-AU-R2-007A1/21187249</t>
  </si>
  <si>
    <t>https://www.lcsc.com/product-detail/C146335.html</t>
  </si>
  <si>
    <t>CUS10S30,H3F</t>
  </si>
  <si>
    <t>*4 out of 10</t>
  </si>
  <si>
    <t>PLZ5V1C-G3/H</t>
  </si>
  <si>
    <t>https://www.digikey.ca/en/products/detail/vishay-general-semiconductor-diodes-division/PLZ5V1C-G3-H/7594405</t>
  </si>
  <si>
    <t>*6 out of 50</t>
  </si>
  <si>
    <t>RC0603FR-072R2L</t>
  </si>
  <si>
    <t>https://www.lcsc.com/product-detail/C112307.html</t>
  </si>
  <si>
    <t>RC0603FR-073R3L</t>
  </si>
  <si>
    <t>https://www.lcsc.com/product-detail/C137725.html</t>
  </si>
  <si>
    <t>RC0603FR-071RL</t>
  </si>
  <si>
    <t>https://www.lcsc.com/product-detail/C112305.html</t>
  </si>
  <si>
    <t>*6 out of 5</t>
  </si>
  <si>
    <t>HSB35-272725</t>
  </si>
  <si>
    <t>https://www.digikey.ca/en/products/detail/same-sky-formerly-cui-devices/HSB35-272725/22535724</t>
  </si>
  <si>
    <t>https://www.lcsc.com/product-detail/C440833.html</t>
  </si>
  <si>
    <t>50YXJ100MT78X11.5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</si>
</sst>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59BF-586A-4F4B-931A-B6F36BAD946F}">
  <dimension ref="A1:U53"/>
  <sheetViews>
    <sheetView tabSelected="1" workbookViewId="0">
      <selection activeCell="U2" sqref="U2"/>
    </sheetView>
  </sheetViews>
  <sheetFormatPr defaultRowHeight="14.5" x14ac:dyDescent="0.35"/>
  <cols>
    <col min="1" max="1" width="20.453125" customWidth="1"/>
    <col min="4" max="4" width="9.08984375" style="1" customWidth="1"/>
    <col min="5" max="5" width="8.7265625" style="1"/>
  </cols>
  <sheetData>
    <row r="1" spans="1:21" x14ac:dyDescent="0.35">
      <c r="A1" t="s">
        <v>1</v>
      </c>
      <c r="B1" t="s">
        <v>14</v>
      </c>
      <c r="C1" t="s">
        <v>2</v>
      </c>
      <c r="D1" s="1" t="s">
        <v>100</v>
      </c>
      <c r="E1" s="1" t="s">
        <v>101</v>
      </c>
      <c r="F1" t="s">
        <v>3</v>
      </c>
    </row>
    <row r="2" spans="1:21" x14ac:dyDescent="0.35">
      <c r="A2" t="s">
        <v>11</v>
      </c>
      <c r="E2" s="1" t="str">
        <f t="shared" ref="E2" si="0">IF(COUNT(C2:D2)=2,D2*C2,"")</f>
        <v/>
      </c>
      <c r="R2" t="s">
        <v>99</v>
      </c>
      <c r="U2">
        <v>1.37</v>
      </c>
    </row>
    <row r="3" spans="1:21" x14ac:dyDescent="0.35">
      <c r="A3" t="s">
        <v>12</v>
      </c>
      <c r="C3">
        <v>1</v>
      </c>
      <c r="D3" s="1">
        <v>7.21</v>
      </c>
      <c r="E3" s="1">
        <f>IF(COUNT(C3:D3)=2,D3*C3*IF(ISNUMBER(SEARCH("lcsc", F3)), U$2, 1),"")</f>
        <v>7.21</v>
      </c>
      <c r="F3" t="s">
        <v>13</v>
      </c>
    </row>
    <row r="4" spans="1:21" x14ac:dyDescent="0.35">
      <c r="A4" t="s">
        <v>0</v>
      </c>
      <c r="E4" s="1" t="str">
        <f t="shared" ref="E4:E31" si="1">IF(COUNT(C4:D4)=2,D4*C4*IF(ISNUMBER(SEARCH("lcsc", F4)), U$2, 1),"")</f>
        <v/>
      </c>
    </row>
    <row r="5" spans="1:21" x14ac:dyDescent="0.35">
      <c r="A5" t="s">
        <v>87</v>
      </c>
      <c r="B5" t="s">
        <v>88</v>
      </c>
      <c r="C5">
        <v>4</v>
      </c>
      <c r="D5" s="1">
        <v>1.92</v>
      </c>
      <c r="E5" s="1">
        <f t="shared" si="1"/>
        <v>7.68</v>
      </c>
      <c r="F5" t="s">
        <v>89</v>
      </c>
    </row>
    <row r="6" spans="1:21" x14ac:dyDescent="0.35">
      <c r="A6" t="s">
        <v>4</v>
      </c>
      <c r="B6" t="s">
        <v>15</v>
      </c>
      <c r="C6">
        <v>4</v>
      </c>
      <c r="D6" s="1">
        <v>0.65</v>
      </c>
      <c r="E6" s="1">
        <f t="shared" si="1"/>
        <v>2.6</v>
      </c>
      <c r="F6" t="s">
        <v>5</v>
      </c>
    </row>
    <row r="7" spans="1:21" x14ac:dyDescent="0.35">
      <c r="A7" t="s">
        <v>6</v>
      </c>
      <c r="E7" s="1" t="str">
        <f t="shared" si="1"/>
        <v/>
      </c>
    </row>
    <row r="8" spans="1:21" x14ac:dyDescent="0.35">
      <c r="A8" t="s">
        <v>128</v>
      </c>
      <c r="B8" t="s">
        <v>16</v>
      </c>
      <c r="C8">
        <v>0.4</v>
      </c>
      <c r="D8" s="1">
        <v>0.47</v>
      </c>
      <c r="E8" s="1">
        <f t="shared" si="1"/>
        <v>0.25756000000000001</v>
      </c>
      <c r="F8" t="s">
        <v>127</v>
      </c>
      <c r="Q8" t="s">
        <v>96</v>
      </c>
    </row>
    <row r="9" spans="1:21" x14ac:dyDescent="0.35">
      <c r="A9" t="s">
        <v>7</v>
      </c>
      <c r="B9" t="s">
        <v>17</v>
      </c>
      <c r="C9">
        <v>2</v>
      </c>
      <c r="D9" s="1">
        <v>0.17</v>
      </c>
      <c r="E9" s="1">
        <f t="shared" si="1"/>
        <v>0.46580000000000005</v>
      </c>
      <c r="F9" t="s">
        <v>62</v>
      </c>
    </row>
    <row r="10" spans="1:21" x14ac:dyDescent="0.35">
      <c r="A10" t="s">
        <v>90</v>
      </c>
      <c r="E10" s="1" t="str">
        <f t="shared" si="1"/>
        <v/>
      </c>
    </row>
    <row r="11" spans="1:21" x14ac:dyDescent="0.35">
      <c r="A11" t="s">
        <v>91</v>
      </c>
      <c r="C11">
        <v>4</v>
      </c>
      <c r="D11" s="1">
        <v>6.22</v>
      </c>
      <c r="E11" s="1">
        <f t="shared" si="1"/>
        <v>24.88</v>
      </c>
      <c r="F11" t="s">
        <v>92</v>
      </c>
    </row>
    <row r="12" spans="1:21" x14ac:dyDescent="0.35">
      <c r="A12" t="s">
        <v>8</v>
      </c>
      <c r="E12" s="1" t="str">
        <f t="shared" si="1"/>
        <v/>
      </c>
    </row>
    <row r="13" spans="1:21" x14ac:dyDescent="0.35">
      <c r="A13" t="s">
        <v>9</v>
      </c>
      <c r="B13" t="s">
        <v>18</v>
      </c>
      <c r="C13">
        <v>2</v>
      </c>
      <c r="D13" s="1">
        <v>5.54</v>
      </c>
      <c r="E13" s="1">
        <f t="shared" si="1"/>
        <v>11.08</v>
      </c>
      <c r="F13" t="s">
        <v>10</v>
      </c>
    </row>
    <row r="14" spans="1:21" x14ac:dyDescent="0.35">
      <c r="A14" t="s">
        <v>25</v>
      </c>
      <c r="E14" s="1" t="str">
        <f t="shared" si="1"/>
        <v/>
      </c>
    </row>
    <row r="15" spans="1:21" x14ac:dyDescent="0.35">
      <c r="A15" t="s">
        <v>93</v>
      </c>
      <c r="B15" t="s">
        <v>94</v>
      </c>
      <c r="C15">
        <v>0.4</v>
      </c>
      <c r="D15" s="1">
        <v>1.35</v>
      </c>
      <c r="E15" s="1">
        <f t="shared" si="1"/>
        <v>0.73980000000000012</v>
      </c>
      <c r="F15" t="s">
        <v>95</v>
      </c>
      <c r="Q15" t="s">
        <v>96</v>
      </c>
    </row>
    <row r="16" spans="1:21" x14ac:dyDescent="0.35">
      <c r="A16" t="s">
        <v>26</v>
      </c>
      <c r="B16" t="s">
        <v>27</v>
      </c>
      <c r="C16">
        <v>4</v>
      </c>
      <c r="D16" s="1">
        <v>2.2999999999999998</v>
      </c>
      <c r="E16" s="1">
        <f t="shared" si="1"/>
        <v>12.603999999999999</v>
      </c>
      <c r="F16" t="s">
        <v>45</v>
      </c>
    </row>
    <row r="17" spans="1:17" x14ac:dyDescent="0.35">
      <c r="A17" t="s">
        <v>35</v>
      </c>
      <c r="E17" s="1" t="str">
        <f t="shared" si="1"/>
        <v/>
      </c>
    </row>
    <row r="18" spans="1:17" x14ac:dyDescent="0.35">
      <c r="A18" t="s">
        <v>125</v>
      </c>
      <c r="C18">
        <v>1</v>
      </c>
      <c r="D18" s="1">
        <v>2.96</v>
      </c>
      <c r="E18" s="1">
        <f t="shared" si="1"/>
        <v>2.96</v>
      </c>
      <c r="F18" t="s">
        <v>126</v>
      </c>
    </row>
    <row r="19" spans="1:17" x14ac:dyDescent="0.35">
      <c r="A19" t="s">
        <v>37</v>
      </c>
      <c r="C19">
        <v>0.01</v>
      </c>
      <c r="D19" s="1">
        <v>6.94</v>
      </c>
      <c r="E19" s="1">
        <f t="shared" si="1"/>
        <v>6.9400000000000003E-2</v>
      </c>
      <c r="F19" t="s">
        <v>36</v>
      </c>
    </row>
    <row r="20" spans="1:17" x14ac:dyDescent="0.35">
      <c r="A20" t="s">
        <v>22</v>
      </c>
      <c r="E20" s="1" t="str">
        <f t="shared" si="1"/>
        <v/>
      </c>
    </row>
    <row r="21" spans="1:17" x14ac:dyDescent="0.35">
      <c r="A21" t="s">
        <v>97</v>
      </c>
      <c r="B21" t="s">
        <v>98</v>
      </c>
      <c r="C21">
        <v>0.02</v>
      </c>
      <c r="D21" s="1">
        <v>0.51</v>
      </c>
      <c r="E21" s="1">
        <f t="shared" si="1"/>
        <v>1.3974000000000002E-2</v>
      </c>
      <c r="F21" t="s">
        <v>74</v>
      </c>
      <c r="Q21" t="s">
        <v>56</v>
      </c>
    </row>
    <row r="22" spans="1:17" x14ac:dyDescent="0.35">
      <c r="A22" t="s">
        <v>102</v>
      </c>
      <c r="B22" t="s">
        <v>103</v>
      </c>
      <c r="C22">
        <v>0.05</v>
      </c>
      <c r="D22" s="1">
        <v>0.11</v>
      </c>
      <c r="E22" s="1">
        <f t="shared" si="1"/>
        <v>7.5350000000000018E-3</v>
      </c>
      <c r="F22" t="s">
        <v>104</v>
      </c>
      <c r="Q22" t="s">
        <v>105</v>
      </c>
    </row>
    <row r="23" spans="1:17" x14ac:dyDescent="0.35">
      <c r="A23" t="s">
        <v>106</v>
      </c>
      <c r="B23" t="s">
        <v>107</v>
      </c>
      <c r="C23">
        <v>0.02</v>
      </c>
      <c r="D23" s="1">
        <v>0.59</v>
      </c>
      <c r="E23" s="1">
        <f t="shared" si="1"/>
        <v>1.6166E-2</v>
      </c>
      <c r="F23" t="s">
        <v>48</v>
      </c>
      <c r="Q23" t="s">
        <v>56</v>
      </c>
    </row>
    <row r="24" spans="1:17" x14ac:dyDescent="0.35">
      <c r="A24" t="s">
        <v>24</v>
      </c>
      <c r="E24" s="1" t="str">
        <f t="shared" si="1"/>
        <v/>
      </c>
    </row>
    <row r="25" spans="1:17" x14ac:dyDescent="0.35">
      <c r="A25" t="s">
        <v>108</v>
      </c>
      <c r="C25">
        <v>2</v>
      </c>
      <c r="D25" s="1">
        <v>0.45</v>
      </c>
      <c r="E25" s="1">
        <f t="shared" si="1"/>
        <v>0.9</v>
      </c>
      <c r="F25" t="s">
        <v>109</v>
      </c>
    </row>
    <row r="26" spans="1:17" x14ac:dyDescent="0.35">
      <c r="A26" t="s">
        <v>110</v>
      </c>
      <c r="C26">
        <v>2</v>
      </c>
      <c r="D26" s="1">
        <v>1.43</v>
      </c>
      <c r="E26" s="1">
        <f t="shared" si="1"/>
        <v>2.86</v>
      </c>
      <c r="F26" t="s">
        <v>111</v>
      </c>
    </row>
    <row r="27" spans="1:17" x14ac:dyDescent="0.35">
      <c r="A27" t="s">
        <v>113</v>
      </c>
      <c r="C27">
        <v>0.4</v>
      </c>
      <c r="D27" s="1">
        <v>0.48</v>
      </c>
      <c r="E27" s="1">
        <f t="shared" si="1"/>
        <v>0.26304000000000005</v>
      </c>
      <c r="F27" t="s">
        <v>112</v>
      </c>
      <c r="Q27" t="s">
        <v>114</v>
      </c>
    </row>
    <row r="28" spans="1:17" x14ac:dyDescent="0.35">
      <c r="A28" t="s">
        <v>115</v>
      </c>
      <c r="C28">
        <v>4</v>
      </c>
      <c r="D28" s="1">
        <v>0.23</v>
      </c>
      <c r="E28" s="1">
        <f t="shared" si="1"/>
        <v>0.92</v>
      </c>
      <c r="F28" t="s">
        <v>116</v>
      </c>
    </row>
    <row r="29" spans="1:17" x14ac:dyDescent="0.35">
      <c r="A29" t="s">
        <v>118</v>
      </c>
      <c r="B29" t="str">
        <f>TEXT(2.2, "#.#")</f>
        <v>2.2</v>
      </c>
      <c r="C29">
        <v>0.02</v>
      </c>
      <c r="D29" s="1">
        <v>0.35</v>
      </c>
      <c r="E29" s="1">
        <f t="shared" si="1"/>
        <v>9.5899999999999996E-3</v>
      </c>
      <c r="F29" t="s">
        <v>119</v>
      </c>
      <c r="Q29" t="s">
        <v>66</v>
      </c>
    </row>
    <row r="30" spans="1:17" x14ac:dyDescent="0.35">
      <c r="A30" t="s">
        <v>120</v>
      </c>
      <c r="B30" t="str">
        <f>TEXT(3.3, "#.#")</f>
        <v>3.3</v>
      </c>
      <c r="C30">
        <v>0.04</v>
      </c>
      <c r="D30" s="1">
        <v>0.42</v>
      </c>
      <c r="E30" s="1">
        <f t="shared" si="1"/>
        <v>2.3016000000000002E-2</v>
      </c>
      <c r="F30" t="s">
        <v>121</v>
      </c>
      <c r="Q30" t="s">
        <v>49</v>
      </c>
    </row>
    <row r="31" spans="1:17" x14ac:dyDescent="0.35">
      <c r="A31" t="s">
        <v>122</v>
      </c>
      <c r="B31" t="str">
        <f>TEXT(1, "#")</f>
        <v>1</v>
      </c>
      <c r="C31">
        <v>0.04</v>
      </c>
      <c r="D31" s="1">
        <v>0.35</v>
      </c>
      <c r="E31" s="1">
        <f t="shared" si="1"/>
        <v>1.9179999999999999E-2</v>
      </c>
      <c r="F31" t="s">
        <v>123</v>
      </c>
      <c r="Q31" t="s">
        <v>49</v>
      </c>
    </row>
    <row r="32" spans="1:17" x14ac:dyDescent="0.35">
      <c r="A32" t="s">
        <v>57</v>
      </c>
      <c r="B32" t="s">
        <v>19</v>
      </c>
      <c r="C32">
        <v>0.04</v>
      </c>
      <c r="D32" s="1">
        <v>0.27</v>
      </c>
      <c r="E32" s="1">
        <f t="shared" ref="E32:E52" si="2">IF(COUNT(C32:D32)=2,D32*C32*IF(ISNUMBER(SEARCH("lcsc", F32)), U$2, 1),"")</f>
        <v>1.4796000000000002E-2</v>
      </c>
      <c r="F32" t="s">
        <v>50</v>
      </c>
      <c r="Q32" t="s">
        <v>49</v>
      </c>
    </row>
    <row r="33" spans="1:17" x14ac:dyDescent="0.35">
      <c r="A33" t="s">
        <v>53</v>
      </c>
      <c r="B33" t="s">
        <v>20</v>
      </c>
      <c r="C33">
        <v>0.2</v>
      </c>
      <c r="D33" s="1">
        <v>0.15</v>
      </c>
      <c r="E33" s="1">
        <f t="shared" si="2"/>
        <v>4.1100000000000005E-2</v>
      </c>
      <c r="F33" t="s">
        <v>51</v>
      </c>
      <c r="Q33" t="s">
        <v>52</v>
      </c>
    </row>
    <row r="34" spans="1:17" x14ac:dyDescent="0.35">
      <c r="A34" t="s">
        <v>78</v>
      </c>
      <c r="B34" t="s">
        <v>21</v>
      </c>
      <c r="C34">
        <v>0.02</v>
      </c>
      <c r="D34" s="1">
        <v>0.71</v>
      </c>
      <c r="E34" s="1">
        <f t="shared" si="2"/>
        <v>1.9453999999999999E-2</v>
      </c>
      <c r="F34" t="s">
        <v>79</v>
      </c>
      <c r="Q34" t="s">
        <v>66</v>
      </c>
    </row>
    <row r="35" spans="1:17" x14ac:dyDescent="0.35">
      <c r="A35" t="s">
        <v>54</v>
      </c>
      <c r="B35" t="s">
        <v>23</v>
      </c>
      <c r="C35">
        <v>0.02</v>
      </c>
      <c r="D35" s="1">
        <v>0.18</v>
      </c>
      <c r="E35" s="1">
        <f t="shared" si="2"/>
        <v>4.9320000000000006E-3</v>
      </c>
      <c r="F35" t="s">
        <v>55</v>
      </c>
      <c r="Q35" t="s">
        <v>56</v>
      </c>
    </row>
    <row r="36" spans="1:17" x14ac:dyDescent="0.35">
      <c r="A36" t="s">
        <v>75</v>
      </c>
      <c r="B36" t="s">
        <v>28</v>
      </c>
      <c r="C36">
        <v>0.02</v>
      </c>
      <c r="D36" s="1">
        <v>0.55000000000000004</v>
      </c>
      <c r="E36" s="1">
        <f t="shared" si="2"/>
        <v>1.5070000000000004E-2</v>
      </c>
      <c r="F36" t="s">
        <v>67</v>
      </c>
      <c r="Q36" t="s">
        <v>56</v>
      </c>
    </row>
    <row r="37" spans="1:17" x14ac:dyDescent="0.35">
      <c r="A37" t="s">
        <v>68</v>
      </c>
      <c r="B37" t="s">
        <v>69</v>
      </c>
      <c r="C37">
        <v>0.01</v>
      </c>
      <c r="D37" s="1">
        <v>0.14000000000000001</v>
      </c>
      <c r="E37" s="1">
        <f t="shared" si="2"/>
        <v>1.9180000000000004E-3</v>
      </c>
      <c r="F37" t="s">
        <v>70</v>
      </c>
      <c r="Q37" t="s">
        <v>47</v>
      </c>
    </row>
    <row r="38" spans="1:17" x14ac:dyDescent="0.35">
      <c r="A38" t="s">
        <v>71</v>
      </c>
      <c r="B38" t="s">
        <v>72</v>
      </c>
      <c r="C38">
        <v>0.12</v>
      </c>
      <c r="D38" s="1">
        <v>0.52</v>
      </c>
      <c r="E38" s="1">
        <f t="shared" si="2"/>
        <v>8.5488000000000008E-2</v>
      </c>
      <c r="F38" t="s">
        <v>73</v>
      </c>
      <c r="Q38" t="s">
        <v>117</v>
      </c>
    </row>
    <row r="39" spans="1:17" x14ac:dyDescent="0.35">
      <c r="A39" t="s">
        <v>80</v>
      </c>
      <c r="C39">
        <v>1</v>
      </c>
      <c r="D39" s="1">
        <v>0.23</v>
      </c>
      <c r="E39" s="1">
        <f t="shared" si="2"/>
        <v>0.23</v>
      </c>
      <c r="F39" t="s">
        <v>81</v>
      </c>
    </row>
    <row r="40" spans="1:17" x14ac:dyDescent="0.35">
      <c r="A40" t="s">
        <v>38</v>
      </c>
      <c r="B40" t="s">
        <v>39</v>
      </c>
      <c r="C40">
        <v>0.08</v>
      </c>
      <c r="D40" s="1">
        <v>0.52</v>
      </c>
      <c r="E40" s="1">
        <f t="shared" si="2"/>
        <v>5.6992000000000008E-2</v>
      </c>
      <c r="F40" t="s">
        <v>61</v>
      </c>
      <c r="Q40" t="s">
        <v>82</v>
      </c>
    </row>
    <row r="41" spans="1:17" x14ac:dyDescent="0.35">
      <c r="A41" t="s">
        <v>85</v>
      </c>
      <c r="C41">
        <v>1.2</v>
      </c>
      <c r="D41" s="1">
        <v>0.39</v>
      </c>
      <c r="E41" s="1">
        <f t="shared" si="2"/>
        <v>0.64116000000000006</v>
      </c>
      <c r="F41" t="s">
        <v>84</v>
      </c>
      <c r="Q41" t="s">
        <v>124</v>
      </c>
    </row>
    <row r="42" spans="1:17" x14ac:dyDescent="0.35">
      <c r="A42" t="s">
        <v>30</v>
      </c>
      <c r="E42" s="1" t="str">
        <f t="shared" si="2"/>
        <v/>
      </c>
    </row>
    <row r="43" spans="1:17" x14ac:dyDescent="0.35">
      <c r="A43" t="s">
        <v>29</v>
      </c>
      <c r="C43">
        <v>1</v>
      </c>
      <c r="D43" s="1">
        <v>0.67</v>
      </c>
      <c r="E43" s="1">
        <f t="shared" si="2"/>
        <v>0.91790000000000016</v>
      </c>
      <c r="F43" t="s">
        <v>46</v>
      </c>
    </row>
    <row r="44" spans="1:17" x14ac:dyDescent="0.35">
      <c r="A44" t="s">
        <v>31</v>
      </c>
      <c r="C44">
        <v>0.1</v>
      </c>
      <c r="D44" s="1">
        <v>0.51</v>
      </c>
      <c r="E44" s="1">
        <f t="shared" si="2"/>
        <v>6.9870000000000015E-2</v>
      </c>
      <c r="F44" t="s">
        <v>58</v>
      </c>
      <c r="Q44" t="s">
        <v>59</v>
      </c>
    </row>
    <row r="45" spans="1:17" x14ac:dyDescent="0.35">
      <c r="A45" t="s">
        <v>32</v>
      </c>
      <c r="B45" t="s">
        <v>33</v>
      </c>
      <c r="C45">
        <v>0.06</v>
      </c>
      <c r="D45" s="1">
        <v>0.31</v>
      </c>
      <c r="E45" s="1">
        <f t="shared" si="2"/>
        <v>2.5482000000000001E-2</v>
      </c>
      <c r="F45" t="s">
        <v>60</v>
      </c>
      <c r="Q45" t="s">
        <v>63</v>
      </c>
    </row>
    <row r="46" spans="1:17" x14ac:dyDescent="0.35">
      <c r="A46" t="s">
        <v>38</v>
      </c>
      <c r="B46" t="s">
        <v>39</v>
      </c>
      <c r="C46" t="s">
        <v>83</v>
      </c>
      <c r="E46" s="1" t="str">
        <f t="shared" si="2"/>
        <v/>
      </c>
    </row>
    <row r="47" spans="1:17" x14ac:dyDescent="0.35">
      <c r="A47" t="s">
        <v>64</v>
      </c>
      <c r="B47" t="str">
        <f>TEXT("10", "#")</f>
        <v>10</v>
      </c>
      <c r="C47">
        <v>0.02</v>
      </c>
      <c r="D47" s="1">
        <v>0.34</v>
      </c>
      <c r="E47" s="1">
        <f t="shared" si="2"/>
        <v>9.3160000000000014E-3</v>
      </c>
      <c r="F47" t="s">
        <v>65</v>
      </c>
      <c r="Q47" t="s">
        <v>66</v>
      </c>
    </row>
    <row r="48" spans="1:17" x14ac:dyDescent="0.35">
      <c r="A48" t="s">
        <v>57</v>
      </c>
      <c r="B48" t="s">
        <v>19</v>
      </c>
      <c r="C48" t="s">
        <v>40</v>
      </c>
      <c r="E48" s="1" t="str">
        <f t="shared" si="2"/>
        <v/>
      </c>
    </row>
    <row r="49" spans="1:6" x14ac:dyDescent="0.35">
      <c r="A49" t="s">
        <v>76</v>
      </c>
      <c r="C49">
        <v>2</v>
      </c>
      <c r="D49" s="1">
        <v>0.68</v>
      </c>
      <c r="E49" s="1">
        <f t="shared" si="2"/>
        <v>1.36</v>
      </c>
      <c r="F49" t="s">
        <v>77</v>
      </c>
    </row>
    <row r="50" spans="1:6" x14ac:dyDescent="0.35">
      <c r="A50" t="s">
        <v>41</v>
      </c>
      <c r="E50" s="1" t="str">
        <f t="shared" si="2"/>
        <v/>
      </c>
    </row>
    <row r="51" spans="1:6" x14ac:dyDescent="0.35">
      <c r="A51" t="s">
        <v>43</v>
      </c>
      <c r="C51">
        <v>2</v>
      </c>
      <c r="D51" s="1">
        <v>0.5</v>
      </c>
      <c r="E51" s="1">
        <f t="shared" si="2"/>
        <v>1.37</v>
      </c>
      <c r="F51" t="s">
        <v>44</v>
      </c>
    </row>
    <row r="52" spans="1:6" x14ac:dyDescent="0.35">
      <c r="A52" t="s">
        <v>42</v>
      </c>
      <c r="C52">
        <v>2</v>
      </c>
      <c r="D52" s="1">
        <v>0.55000000000000004</v>
      </c>
      <c r="E52" s="1">
        <f t="shared" si="2"/>
        <v>1.1000000000000001</v>
      </c>
      <c r="F52" t="s">
        <v>86</v>
      </c>
    </row>
    <row r="53" spans="1:6" x14ac:dyDescent="0.35">
      <c r="D53" s="1" t="s">
        <v>34</v>
      </c>
      <c r="E53" s="1">
        <f>SUM(E2:E52)</f>
        <v>81.542539000000005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Lam</dc:creator>
  <cp:lastModifiedBy>Michael Lam</cp:lastModifiedBy>
  <dcterms:created xsi:type="dcterms:W3CDTF">2026-01-12T15:30:04Z</dcterms:created>
  <dcterms:modified xsi:type="dcterms:W3CDTF">2026-02-02T20:19:35Z</dcterms:modified>
</cp:coreProperties>
</file>