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905A86F6-F0B7-4DC8-AD46-A896F5A138AF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E33" i="1"/>
  <c r="B33" i="1"/>
  <c r="E22" i="1"/>
  <c r="E31" i="1"/>
  <c r="E32" i="1"/>
  <c r="E34" i="1"/>
  <c r="E35" i="1"/>
  <c r="E36" i="1"/>
  <c r="E37" i="1"/>
  <c r="E38" i="1"/>
  <c r="E39" i="1"/>
  <c r="E40" i="1"/>
  <c r="E23" i="1" l="1"/>
  <c r="E24" i="1"/>
  <c r="E48" i="1" l="1"/>
  <c r="B48" i="1"/>
  <c r="E52" i="1" l="1"/>
  <c r="E53" i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29" i="1"/>
  <c r="E30" i="1"/>
  <c r="E41" i="1"/>
  <c r="E42" i="1"/>
  <c r="E43" i="1"/>
  <c r="E44" i="1"/>
  <c r="E45" i="1"/>
  <c r="E15" i="1"/>
  <c r="E47" i="1"/>
  <c r="E49" i="1"/>
  <c r="E51" i="1"/>
  <c r="E54" i="1"/>
  <c r="E55" i="1"/>
  <c r="E3" i="1"/>
  <c r="E2" i="1" l="1"/>
  <c r="E56" i="1" l="1"/>
</calcChain>
</file>

<file path=xl/sharedStrings.xml><?xml version="1.0" encoding="utf-8"?>
<sst xmlns="http://schemas.openxmlformats.org/spreadsheetml/2006/main" count="150" uniqueCount="125">
  <si>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</si>
  <si>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</si>
  <si>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</si>
  <si>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</si>
  <si>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</si>
  <si>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</si>
  <si>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</si>
  <si>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</si>
  <si>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</si>
  <si>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</si>
  <si>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</si>
  <si>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</si>
  <si>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</si>
  <si>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</si>
  <si>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</si>
  <si>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</si>
  <si>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</si>
  <si>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</si>
  <si>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</si>
  <si>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</si>
  <si>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</si>
  <si>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</si>
  <si>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</si>
  <si>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</si>
  <si>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</si>
  <si>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</si>
  <si>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</si>
  <si>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</si>
  <si>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</si>
  <si>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</si>
  <si>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</si>
  <si>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</si>
  <si>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</si>
  <si>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</si>
  <si>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</si>
  <si>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</si>
  <si>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</si>
  <si>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</si>
  <si>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</si>
  <si>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</si>
  <si>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</si>
  <si>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</si>
  <si>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</si>
  <si>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</si>
  <si>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</si>
  <si>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</si>
  <si>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</si>
  <si>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</si>
  <si>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</si>
  <si>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</si>
  <si>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</si>
  <si>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</si>
  <si>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https://www.lcsc.com/product-detail/C5199801.html</t>
  </si>
  <si>
    <t>RH-5001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</si>
  <si>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</si>
  <si>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</si>
  <si>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</si>
  <si>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</si>
  <si>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</si>
  <si>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</si>
  <si>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</si>
  <si>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</si>
  <si>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</si>
  <si>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</si>
  <si>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</si>
  <si>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</si>
  <si>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</si>
  <si>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</si>
  <si>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</si>
  <si>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</si>
  <si>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</si>
  <si>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</si>
  <si>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</si>
  <si>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</si>
  <si>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</si>
  <si>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</si>
  <si>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</si>
  <si>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</si>
  <si>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*4 out of 5</t>
  </si>
  <si>
    <t>https://www.lcsc.com/product-detail/C861082.html</t>
  </si>
  <si>
    <t>*8 out of 20</t>
  </si>
  <si>
    <t xml:space="preserve">LTC7890RUJM#PBF </t>
  </si>
  <si>
    <t>https://www.mouser.ca/ProductDetail/Analog-Devices/LTC7890RUJMPBF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</si>
  <si>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</si>
  <si>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</si>
  <si>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</si>
  <si>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</si>
  <si>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</si>
  <si>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</si>
  <si>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</si>
  <si>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https://www.mouser.ca/ProductDetail/Infineon-Technologies/IGC025S08S1XTMA1</t>
  </si>
  <si>
    <t>https://www.mouser.ca/ProductDetail/Same-Sky/HSB35-272725</t>
  </si>
  <si>
    <t>https://www.mouser.ca/ProductDetail/Same-Sky/SLW-1478144-5A-S-D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</si>
  <si>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</si>
  <si>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</si>
  <si>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</si>
  <si>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</si>
  <si>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</si>
  <si>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</si>
  <si>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</si>
  <si>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</si>
  <si>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</si>
  <si>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</si>
  <si>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</si>
  <si>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</si>
  <si>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</si>
  <si>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</si>
  <si>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</si>
  <si>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</si>
  <si>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</si>
  <si>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</si>
  <si>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</si>
  <si>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</si>
  <si>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</si>
  <si>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</si>
  <si>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</si>
  <si>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</si>
  <si>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</si>
  <si>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</si>
  <si>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https://www.mouser.ca/ProductDetail/MG-Chemicals/8329TCS-6ML</t>
  </si>
  <si>
    <t>8329TCS-6ML</t>
  </si>
  <si>
    <t>RC0603FR-07100RL</t>
  </si>
  <si>
    <t>https://www.lcsc.com/product-detail/C105588.html</t>
  </si>
  <si>
    <t>*18 out of 50</t>
  </si>
  <si>
    <t>https://www.mouser.ca/ProductDetail/Samsung-Electro-Mechanics/CL32B475KCJZ4NE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</si>
</sst>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56"/>
  <sheetViews>
    <sheetView tabSelected="1" zoomScaleNormal="100" workbookViewId="0">
      <selection activeCell="P11" sqref="P11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9</v>
      </c>
      <c r="C1" t="s">
        <v>2</v>
      </c>
      <c r="D1" s="1" t="s">
        <v>62</v>
      </c>
      <c r="E1" s="1" t="s">
        <v>63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R2" t="s">
        <v>61</v>
      </c>
      <c r="U2">
        <v>1.37</v>
      </c>
    </row>
    <row r="3" spans="1:21" x14ac:dyDescent="0.35">
      <c r="A3" t="s">
        <v>81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82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54</v>
      </c>
      <c r="B5" t="s">
        <v>55</v>
      </c>
      <c r="C5">
        <v>4</v>
      </c>
      <c r="D5" s="1">
        <v>1.92</v>
      </c>
      <c r="E5" s="1">
        <f t="shared" si="1"/>
        <v>7.68</v>
      </c>
      <c r="F5" t="s">
        <v>56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124</v>
      </c>
    </row>
    <row r="7" spans="1:21" x14ac:dyDescent="0.35">
      <c r="A7" t="s">
        <v>66</v>
      </c>
      <c r="B7" t="s">
        <v>13</v>
      </c>
      <c r="C7">
        <v>0.36</v>
      </c>
      <c r="D7" s="1">
        <v>0.33</v>
      </c>
      <c r="E7" s="1">
        <f t="shared" si="1"/>
        <v>0.16275600000000001</v>
      </c>
      <c r="F7" t="s">
        <v>67</v>
      </c>
      <c r="Q7" t="s">
        <v>123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105</v>
      </c>
      <c r="B9" t="s">
        <v>106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107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83</v>
      </c>
      <c r="E11" s="1" t="str">
        <f>IF(COUNT(C11:D11)=2,D11*C11*IF(ISNUMBER(SEARCH("lcsc", F11)), U$2, 1),"")</f>
        <v/>
      </c>
    </row>
    <row r="12" spans="1:21" x14ac:dyDescent="0.35">
      <c r="A12" t="s">
        <v>65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90</v>
      </c>
    </row>
    <row r="13" spans="1:21" x14ac:dyDescent="0.35">
      <c r="A13" t="s">
        <v>89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3" si="2">IF(COUNT(C14:D14)=2,D14*C14*IF(ISNUMBER(SEARCH("lcsc", F14)), U$2, 1),"")</f>
        <v>2.6304000000000001E-2</v>
      </c>
      <c r="F14" t="s">
        <v>39</v>
      </c>
      <c r="Q14" t="s">
        <v>88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Q15" t="s">
        <v>38</v>
      </c>
    </row>
    <row r="16" spans="1:21" x14ac:dyDescent="0.35">
      <c r="A16" t="s">
        <v>44</v>
      </c>
      <c r="B16" t="s">
        <v>45</v>
      </c>
      <c r="C16">
        <v>0.04</v>
      </c>
      <c r="D16" s="1">
        <v>0.52</v>
      </c>
      <c r="E16" s="1">
        <f t="shared" si="2"/>
        <v>2.8496000000000004E-2</v>
      </c>
      <c r="F16" t="s">
        <v>46</v>
      </c>
      <c r="Q16" t="s">
        <v>72</v>
      </c>
    </row>
    <row r="17" spans="1:17" x14ac:dyDescent="0.35">
      <c r="A17" t="s">
        <v>7</v>
      </c>
      <c r="E17" s="1" t="str">
        <f t="shared" si="2"/>
        <v/>
      </c>
    </row>
    <row r="18" spans="1:17" x14ac:dyDescent="0.35">
      <c r="A18" t="s">
        <v>70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71</v>
      </c>
    </row>
    <row r="19" spans="1:17" x14ac:dyDescent="0.35">
      <c r="A19" t="s">
        <v>17</v>
      </c>
      <c r="E19" s="1" t="str">
        <f t="shared" si="2"/>
        <v/>
      </c>
    </row>
    <row r="20" spans="1:17" x14ac:dyDescent="0.35">
      <c r="A20" t="s">
        <v>57</v>
      </c>
      <c r="B20" t="s">
        <v>58</v>
      </c>
      <c r="C20">
        <v>0.4</v>
      </c>
      <c r="D20" s="1">
        <v>1.35</v>
      </c>
      <c r="E20" s="1">
        <f t="shared" si="2"/>
        <v>0.73980000000000012</v>
      </c>
      <c r="F20" t="s">
        <v>59</v>
      </c>
      <c r="Q20" t="s">
        <v>60</v>
      </c>
    </row>
    <row r="21" spans="1:17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7" x14ac:dyDescent="0.35">
      <c r="A22" t="s">
        <v>68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69</v>
      </c>
      <c r="Q22" t="s">
        <v>42</v>
      </c>
    </row>
    <row r="23" spans="1:17" x14ac:dyDescent="0.35">
      <c r="A23" t="s">
        <v>121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122</v>
      </c>
      <c r="Q23" t="s">
        <v>42</v>
      </c>
    </row>
    <row r="24" spans="1:17" x14ac:dyDescent="0.35">
      <c r="A24" t="s">
        <v>26</v>
      </c>
      <c r="E24" s="1" t="str">
        <f t="shared" si="2"/>
        <v/>
      </c>
    </row>
    <row r="25" spans="1:17" x14ac:dyDescent="0.35">
      <c r="A25" t="s">
        <v>64</v>
      </c>
      <c r="C25">
        <v>1</v>
      </c>
      <c r="D25" s="1">
        <v>2.76</v>
      </c>
      <c r="E25" s="1">
        <f t="shared" si="2"/>
        <v>2.76</v>
      </c>
      <c r="F25" t="s">
        <v>91</v>
      </c>
    </row>
    <row r="26" spans="1:17" x14ac:dyDescent="0.35">
      <c r="A26" t="s">
        <v>120</v>
      </c>
      <c r="C26">
        <v>1E-3</v>
      </c>
      <c r="D26" s="1">
        <v>41.36</v>
      </c>
      <c r="E26" s="1">
        <f t="shared" si="2"/>
        <v>4.1360000000000001E-2</v>
      </c>
      <c r="F26" t="s">
        <v>119</v>
      </c>
    </row>
    <row r="27" spans="1:17" x14ac:dyDescent="0.35">
      <c r="A27" t="s">
        <v>14</v>
      </c>
      <c r="E27" s="1" t="str">
        <f t="shared" si="2"/>
        <v/>
      </c>
    </row>
    <row r="28" spans="1:17" x14ac:dyDescent="0.35">
      <c r="A28" t="s">
        <v>108</v>
      </c>
      <c r="B28" t="s">
        <v>109</v>
      </c>
      <c r="C28">
        <v>0.02</v>
      </c>
      <c r="D28" s="1">
        <v>0.51</v>
      </c>
      <c r="E28" s="1">
        <f t="shared" si="2"/>
        <v>1.3974000000000002E-2</v>
      </c>
      <c r="F28" t="s">
        <v>110</v>
      </c>
      <c r="Q28" t="s">
        <v>36</v>
      </c>
    </row>
    <row r="29" spans="1:17" x14ac:dyDescent="0.35">
      <c r="A29" t="s">
        <v>111</v>
      </c>
      <c r="B29" t="s">
        <v>112</v>
      </c>
      <c r="C29">
        <v>0.02</v>
      </c>
      <c r="D29" s="1">
        <v>0.82</v>
      </c>
      <c r="E29" s="1">
        <f t="shared" si="2"/>
        <v>2.2467999999999998E-2</v>
      </c>
      <c r="F29" t="s">
        <v>102</v>
      </c>
      <c r="Q29" t="s">
        <v>36</v>
      </c>
    </row>
    <row r="30" spans="1:17" x14ac:dyDescent="0.35">
      <c r="A30" t="s">
        <v>113</v>
      </c>
      <c r="B30" t="s">
        <v>114</v>
      </c>
      <c r="C30">
        <v>0.02</v>
      </c>
      <c r="D30" s="1">
        <v>0.62</v>
      </c>
      <c r="E30" s="1">
        <f t="shared" si="2"/>
        <v>1.6988E-2</v>
      </c>
      <c r="F30" t="s">
        <v>115</v>
      </c>
      <c r="Q30" t="s">
        <v>36</v>
      </c>
    </row>
    <row r="31" spans="1:17" x14ac:dyDescent="0.35">
      <c r="A31" t="s">
        <v>16</v>
      </c>
      <c r="E31" s="1" t="str">
        <f t="shared" si="2"/>
        <v/>
      </c>
    </row>
    <row r="32" spans="1:17" x14ac:dyDescent="0.35">
      <c r="A32" t="s">
        <v>104</v>
      </c>
      <c r="B32" t="s">
        <v>10</v>
      </c>
      <c r="C32">
        <v>0.1</v>
      </c>
      <c r="D32" s="1">
        <v>0.71</v>
      </c>
      <c r="E32" s="1">
        <f t="shared" si="2"/>
        <v>9.7269999999999995E-2</v>
      </c>
      <c r="F32" t="s">
        <v>103</v>
      </c>
      <c r="Q32" t="s">
        <v>38</v>
      </c>
    </row>
    <row r="33" spans="1:17" x14ac:dyDescent="0.35">
      <c r="A33" t="s">
        <v>117</v>
      </c>
      <c r="B33" t="str">
        <f>TEXT("1", "#")</f>
        <v>1</v>
      </c>
      <c r="C33">
        <v>0.04</v>
      </c>
      <c r="D33" s="1">
        <v>0.34</v>
      </c>
      <c r="E33" s="1">
        <f t="shared" si="2"/>
        <v>1.8632000000000003E-2</v>
      </c>
      <c r="F33" t="s">
        <v>118</v>
      </c>
      <c r="Q33" t="s">
        <v>116</v>
      </c>
    </row>
    <row r="34" spans="1:17" x14ac:dyDescent="0.35">
      <c r="A34" t="s">
        <v>85</v>
      </c>
      <c r="B34" s="2" t="s">
        <v>86</v>
      </c>
      <c r="C34">
        <v>0.04</v>
      </c>
      <c r="D34" s="1">
        <v>0.12</v>
      </c>
      <c r="E34" s="1">
        <f t="shared" ref="E34:E45" si="3">IF(COUNT(C34:D34)=2,D34*C34*IF(ISNUMBER(SEARCH("lcsc", F34)), U$2, 1),"")</f>
        <v>6.5760000000000002E-3</v>
      </c>
      <c r="F34" t="s">
        <v>87</v>
      </c>
      <c r="Q34" t="s">
        <v>116</v>
      </c>
    </row>
    <row r="35" spans="1:17" x14ac:dyDescent="0.35">
      <c r="A35" t="s">
        <v>66</v>
      </c>
      <c r="B35" t="s">
        <v>13</v>
      </c>
      <c r="C35" t="s">
        <v>51</v>
      </c>
      <c r="E35" s="1" t="str">
        <f t="shared" si="3"/>
        <v/>
      </c>
    </row>
    <row r="36" spans="1:17" x14ac:dyDescent="0.35">
      <c r="A36" t="s">
        <v>93</v>
      </c>
      <c r="B36" t="s">
        <v>94</v>
      </c>
      <c r="C36">
        <v>0.04</v>
      </c>
      <c r="D36" s="1">
        <v>0.3</v>
      </c>
      <c r="E36" s="1">
        <f t="shared" si="3"/>
        <v>1.6440000000000003E-2</v>
      </c>
      <c r="F36" t="s">
        <v>95</v>
      </c>
      <c r="Q36" t="s">
        <v>72</v>
      </c>
    </row>
    <row r="37" spans="1:17" x14ac:dyDescent="0.35">
      <c r="A37" t="s">
        <v>44</v>
      </c>
      <c r="B37" t="s">
        <v>45</v>
      </c>
      <c r="C37" t="s">
        <v>29</v>
      </c>
      <c r="E37" s="1" t="str">
        <f t="shared" si="3"/>
        <v/>
      </c>
    </row>
    <row r="38" spans="1:17" x14ac:dyDescent="0.35">
      <c r="A38" t="s">
        <v>47</v>
      </c>
      <c r="B38" t="s">
        <v>20</v>
      </c>
      <c r="C38">
        <v>0.02</v>
      </c>
      <c r="D38" s="1">
        <v>0.55000000000000004</v>
      </c>
      <c r="E38" s="1">
        <f t="shared" si="3"/>
        <v>1.5070000000000004E-2</v>
      </c>
      <c r="F38" t="s">
        <v>43</v>
      </c>
      <c r="Q38" t="s">
        <v>36</v>
      </c>
    </row>
    <row r="39" spans="1:17" x14ac:dyDescent="0.35">
      <c r="A39" t="s">
        <v>96</v>
      </c>
      <c r="B39" t="s">
        <v>97</v>
      </c>
      <c r="C39">
        <v>0.02</v>
      </c>
      <c r="D39" s="1">
        <v>0.52</v>
      </c>
      <c r="E39" s="1">
        <f t="shared" si="3"/>
        <v>1.4248000000000002E-2</v>
      </c>
      <c r="F39" t="s">
        <v>98</v>
      </c>
      <c r="Q39" t="s">
        <v>36</v>
      </c>
    </row>
    <row r="40" spans="1:17" x14ac:dyDescent="0.35">
      <c r="A40" t="s">
        <v>99</v>
      </c>
      <c r="B40" t="s">
        <v>100</v>
      </c>
      <c r="C40">
        <v>0.02</v>
      </c>
      <c r="D40" s="1">
        <v>0.51</v>
      </c>
      <c r="E40" s="1">
        <f t="shared" si="3"/>
        <v>1.3974000000000002E-2</v>
      </c>
      <c r="F40" t="s">
        <v>101</v>
      </c>
      <c r="Q40" t="s">
        <v>36</v>
      </c>
    </row>
    <row r="41" spans="1:17" x14ac:dyDescent="0.35">
      <c r="A41" t="s">
        <v>49</v>
      </c>
      <c r="C41">
        <v>1</v>
      </c>
      <c r="D41" s="1">
        <v>0.23</v>
      </c>
      <c r="E41" s="1">
        <f t="shared" si="3"/>
        <v>0.23</v>
      </c>
      <c r="F41" t="s">
        <v>50</v>
      </c>
    </row>
    <row r="42" spans="1:17" x14ac:dyDescent="0.35">
      <c r="A42" t="s">
        <v>27</v>
      </c>
      <c r="B42" t="s">
        <v>28</v>
      </c>
      <c r="C42">
        <v>0.06</v>
      </c>
      <c r="D42" s="1">
        <v>0.52</v>
      </c>
      <c r="E42" s="1">
        <f t="shared" si="3"/>
        <v>4.2744000000000004E-2</v>
      </c>
      <c r="F42" t="s">
        <v>40</v>
      </c>
      <c r="Q42" t="s">
        <v>88</v>
      </c>
    </row>
    <row r="43" spans="1:17" x14ac:dyDescent="0.35">
      <c r="A43" t="s">
        <v>53</v>
      </c>
      <c r="C43">
        <v>0.8</v>
      </c>
      <c r="D43" s="1">
        <v>0.39</v>
      </c>
      <c r="E43" s="1">
        <f t="shared" si="3"/>
        <v>0.4274400000000001</v>
      </c>
      <c r="F43" t="s">
        <v>52</v>
      </c>
      <c r="Q43" t="s">
        <v>78</v>
      </c>
    </row>
    <row r="44" spans="1:17" x14ac:dyDescent="0.35">
      <c r="A44" t="s">
        <v>73</v>
      </c>
      <c r="E44" s="1" t="str">
        <f t="shared" si="3"/>
        <v/>
      </c>
    </row>
    <row r="45" spans="1:17" x14ac:dyDescent="0.35">
      <c r="A45" t="s">
        <v>21</v>
      </c>
      <c r="C45">
        <v>1</v>
      </c>
      <c r="D45" s="1">
        <v>0.67</v>
      </c>
      <c r="E45" s="1">
        <f t="shared" si="3"/>
        <v>0.91790000000000016</v>
      </c>
      <c r="F45" t="s">
        <v>35</v>
      </c>
    </row>
    <row r="46" spans="1:17" x14ac:dyDescent="0.35">
      <c r="A46" t="s">
        <v>23</v>
      </c>
      <c r="B46" t="s">
        <v>24</v>
      </c>
      <c r="C46" t="s">
        <v>29</v>
      </c>
    </row>
    <row r="47" spans="1:17" x14ac:dyDescent="0.35">
      <c r="A47" t="s">
        <v>27</v>
      </c>
      <c r="B47" t="s">
        <v>28</v>
      </c>
      <c r="C47" t="s">
        <v>51</v>
      </c>
      <c r="E47" s="1" t="str">
        <f>IF(COUNT(C47:D47)=2,D47*C47*IF(ISNUMBER(SEARCH("lcsc", F47)), U$2, 1),"")</f>
        <v/>
      </c>
    </row>
    <row r="48" spans="1:17" x14ac:dyDescent="0.35">
      <c r="A48" t="s">
        <v>84</v>
      </c>
      <c r="B48" t="str">
        <f>TEXT("10", "#")</f>
        <v>10</v>
      </c>
      <c r="C48">
        <v>0.4</v>
      </c>
      <c r="D48" s="1">
        <v>0.94</v>
      </c>
      <c r="E48" s="1">
        <f>IF(COUNT(C48:D48)=2,D48*C48*IF(ISNUMBER(SEARCH("lcsc", F48)), U$2, 1),"")</f>
        <v>0.51512000000000002</v>
      </c>
      <c r="F48" t="s">
        <v>79</v>
      </c>
      <c r="Q48" t="s">
        <v>80</v>
      </c>
    </row>
    <row r="49" spans="1:17" x14ac:dyDescent="0.35">
      <c r="A49" t="s">
        <v>66</v>
      </c>
      <c r="B49" t="s">
        <v>13</v>
      </c>
      <c r="C49" t="s">
        <v>29</v>
      </c>
      <c r="E49" s="1" t="str">
        <f>IF(COUNT(C49:D49)=2,D49*C49*IF(ISNUMBER(SEARCH("lcsc", F49)), U$2, 1),"")</f>
        <v/>
      </c>
    </row>
    <row r="50" spans="1:17" x14ac:dyDescent="0.35">
      <c r="A50" t="s">
        <v>74</v>
      </c>
    </row>
    <row r="51" spans="1:17" x14ac:dyDescent="0.35">
      <c r="A51" t="s">
        <v>48</v>
      </c>
      <c r="C51">
        <v>2</v>
      </c>
      <c r="D51" s="1">
        <v>0.57999999999999996</v>
      </c>
      <c r="E51" s="1">
        <f>IF(COUNT(C51:D51)=2,D51*C51*IF(ISNUMBER(SEARCH("lcsc", F51)), U$2, 1),"")</f>
        <v>1.1599999999999999</v>
      </c>
      <c r="F51" t="s">
        <v>92</v>
      </c>
    </row>
    <row r="52" spans="1:17" x14ac:dyDescent="0.35">
      <c r="A52" t="s">
        <v>30</v>
      </c>
      <c r="E52" s="1" t="str">
        <f>IF(COUNT(C52:D52)=2,D52*C52*IF(ISNUMBER(SEARCH("lcsc", F52)), U$2, 1),"")</f>
        <v/>
      </c>
    </row>
    <row r="53" spans="1:17" x14ac:dyDescent="0.35">
      <c r="A53" t="s">
        <v>75</v>
      </c>
      <c r="C53">
        <v>1</v>
      </c>
      <c r="D53" s="1">
        <v>0.47</v>
      </c>
      <c r="E53" s="1">
        <f>IF(COUNT(C53:D53)=2,D53*C53*IF(ISNUMBER(SEARCH("lcsc", F53)), U$2, 1),"")</f>
        <v>0.64390000000000003</v>
      </c>
      <c r="F53" t="s">
        <v>76</v>
      </c>
    </row>
    <row r="54" spans="1:17" x14ac:dyDescent="0.35">
      <c r="A54" t="s">
        <v>32</v>
      </c>
      <c r="C54">
        <v>1</v>
      </c>
      <c r="D54" s="1">
        <v>0.5</v>
      </c>
      <c r="E54" s="1">
        <f>IF(COUNT(C54:D54)=2,D54*C54*IF(ISNUMBER(SEARCH("lcsc", F54)), U$2, 1),"")</f>
        <v>0.68500000000000005</v>
      </c>
      <c r="F54" t="s">
        <v>33</v>
      </c>
    </row>
    <row r="55" spans="1:17" x14ac:dyDescent="0.35">
      <c r="A55" t="s">
        <v>31</v>
      </c>
      <c r="C55">
        <v>0.4</v>
      </c>
      <c r="D55" s="1">
        <v>1.27</v>
      </c>
      <c r="E55" s="1">
        <f>IF(COUNT(C55:D55)=2,D55*C55*IF(ISNUMBER(SEARCH("lcsc", F55)), U$2, 1),"")</f>
        <v>0.69596000000000002</v>
      </c>
      <c r="F55" t="s">
        <v>77</v>
      </c>
      <c r="Q55" t="s">
        <v>60</v>
      </c>
    </row>
    <row r="56" spans="1:17" x14ac:dyDescent="0.35">
      <c r="D56" s="1" t="s">
        <v>25</v>
      </c>
      <c r="E56" s="1">
        <f>SUM(E2:E55)</f>
        <v>91.579988000000014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2026-03-27T16:18:57Z</dcterms:modified>
</cp:coreProperties>
</file>